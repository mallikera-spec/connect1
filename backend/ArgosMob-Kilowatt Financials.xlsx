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/>
  <mc:AlternateContent xmlns:mc="http://schemas.openxmlformats.org/markup-compatibility/2006">
    <mc:Choice Requires="x15">
      <x15ac:absPath xmlns:x15ac="http://schemas.microsoft.com/office/spreadsheetml/2010/11/ac" url="https://argosmob-my.sharepoint.com/personal/hello_argosmob_onmicrosoft_com/Documents/ArgosMob - KiloWatt Crew/Finance/"/>
    </mc:Choice>
  </mc:AlternateContent>
  <xr:revisionPtr revIDLastSave="2938" documentId="13_ncr:1_{52C9E223-F342-4FE2-A9B5-FFE6A2805C1D}" xr6:coauthVersionLast="47" xr6:coauthVersionMax="47" xr10:uidLastSave="{281C19D1-3ABE-4BE5-A6A9-59E08A7AEF3A}"/>
  <bookViews>
    <workbookView xWindow="-120" yWindow="-120" windowWidth="38640" windowHeight="15720" tabRatio="586" activeTab="10" xr2:uid="{669A98BA-E9F1-4982-B57E-129F1BC1A59A}"/>
  </bookViews>
  <sheets>
    <sheet name="PL" sheetId="4" r:id="rId1"/>
    <sheet name="How to" sheetId="19" r:id="rId2"/>
    <sheet name="Daily Tracker" sheetId="20" r:id="rId3"/>
    <sheet name="Staff" sheetId="2" r:id="rId4"/>
    <sheet name="Feb expenses" sheetId="14" r:id="rId5"/>
    <sheet name="Income(International)" sheetId="3" r:id="rId6"/>
    <sheet name="Income" sheetId="5" r:id="rId7"/>
    <sheet name="Expenses" sheetId="6" r:id="rId8"/>
    <sheet name="Resource Performance" sheetId="12" r:id="rId9"/>
    <sheet name="Balance Amount" sheetId="15" r:id="rId10"/>
    <sheet name="Order Book" sheetId="7" r:id="rId11"/>
    <sheet name="Pending Payment" sheetId="13" r:id="rId12"/>
    <sheet name="Validations" sheetId="10" r:id="rId13"/>
    <sheet name="Project Deadlines" sheetId="16" r:id="rId14"/>
    <sheet name="Roles &amp; Responsibilities" sheetId="17" r:id="rId15"/>
    <sheet name="Asset Purchase" sheetId="18" r:id="rId16"/>
  </sheets>
  <definedNames>
    <definedName name="_xlnm._FilterDatabase" localSheetId="7" hidden="1">Expenses!$G$397:$G$397</definedName>
    <definedName name="_xlnm._FilterDatabase" localSheetId="4" hidden="1">'Feb expenses'!#REF!</definedName>
    <definedName name="_xlnm._FilterDatabase" localSheetId="6" hidden="1">Income!$A$1:$N$81</definedName>
    <definedName name="_xlnm._FilterDatabase" localSheetId="10" hidden="1">'Order Book'!$A$1:$O$43</definedName>
    <definedName name="_xlnm._FilterDatabase" localSheetId="13" hidden="1">'Project Deadlines'!$A$1:$A$33</definedName>
    <definedName name="_xlnm._FilterDatabase" localSheetId="14" hidden="1">'Roles &amp; Responsibilities'!$A$3:$C$15</definedName>
    <definedName name="_xlnm._FilterDatabase" localSheetId="3" hidden="1">Staff!$A$1:$G$15</definedName>
  </definedNames>
  <calcPr calcId="191028"/>
  <pivotCaches>
    <pivotCache cacheId="6" r:id="rId17"/>
    <pivotCache cacheId="7" r:id="rId18"/>
    <pivotCache cacheId="8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5" i="6" l="1"/>
  <c r="A565" i="6"/>
  <c r="A564" i="6"/>
  <c r="C564" i="6"/>
  <c r="C562" i="6" l="1"/>
  <c r="C561" i="6"/>
  <c r="C563" i="6"/>
  <c r="C560" i="6"/>
  <c r="C559" i="6"/>
  <c r="C540" i="6"/>
  <c r="C555" i="6"/>
  <c r="C556" i="6"/>
  <c r="C557" i="6"/>
  <c r="C558" i="6"/>
  <c r="C554" i="6"/>
  <c r="C553" i="6"/>
  <c r="C552" i="6"/>
  <c r="C551" i="6"/>
  <c r="C541" i="6"/>
  <c r="C542" i="6"/>
  <c r="C543" i="6"/>
  <c r="C544" i="6"/>
  <c r="C545" i="6"/>
  <c r="C546" i="6"/>
  <c r="C547" i="6"/>
  <c r="C548" i="6"/>
  <c r="C549" i="6"/>
  <c r="C550" i="6"/>
  <c r="A40" i="7" l="1"/>
  <c r="N40" i="7"/>
  <c r="M40" i="7"/>
  <c r="B40" i="7"/>
  <c r="A81" i="5"/>
  <c r="B81" i="5"/>
  <c r="C539" i="6"/>
  <c r="C538" i="6"/>
  <c r="C536" i="6"/>
  <c r="C537" i="6"/>
  <c r="M39" i="7"/>
  <c r="C523" i="6"/>
  <c r="C524" i="6"/>
  <c r="C525" i="6"/>
  <c r="C526" i="6"/>
  <c r="C527" i="6"/>
  <c r="C528" i="6"/>
  <c r="C519" i="6"/>
  <c r="C520" i="6"/>
  <c r="C521" i="6"/>
  <c r="C522" i="6"/>
  <c r="C514" i="6"/>
  <c r="C515" i="6"/>
  <c r="C516" i="6"/>
  <c r="C517" i="6"/>
  <c r="C518" i="6"/>
  <c r="C535" i="6"/>
  <c r="C534" i="6"/>
  <c r="C533" i="6"/>
  <c r="C532" i="6"/>
  <c r="C531" i="6"/>
  <c r="C530" i="6"/>
  <c r="B80" i="5"/>
  <c r="A80" i="5"/>
  <c r="B79" i="5"/>
  <c r="A79" i="5"/>
  <c r="B21" i="19"/>
  <c r="A39" i="7"/>
  <c r="B39" i="7"/>
  <c r="A78" i="5"/>
  <c r="B78" i="5"/>
  <c r="O40" i="7" l="1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10" i="12"/>
  <c r="N38" i="7"/>
  <c r="M38" i="7"/>
  <c r="B38" i="7"/>
  <c r="C529" i="6"/>
  <c r="C513" i="6"/>
  <c r="C512" i="6"/>
  <c r="C511" i="6"/>
  <c r="D26" i="2"/>
  <c r="B3" i="20"/>
  <c r="C3" i="20"/>
  <c r="B4" i="20"/>
  <c r="C4" i="20"/>
  <c r="B5" i="20"/>
  <c r="C5" i="20"/>
  <c r="B6" i="20"/>
  <c r="C6" i="20"/>
  <c r="B7" i="20"/>
  <c r="C7" i="20"/>
  <c r="B8" i="20"/>
  <c r="C8" i="20"/>
  <c r="B9" i="20"/>
  <c r="C9" i="20"/>
  <c r="B10" i="20"/>
  <c r="C10" i="20"/>
  <c r="B11" i="20"/>
  <c r="C11" i="20"/>
  <c r="B12" i="20"/>
  <c r="C12" i="20"/>
  <c r="B13" i="20"/>
  <c r="C13" i="20"/>
  <c r="B14" i="20"/>
  <c r="C14" i="20"/>
  <c r="B15" i="20"/>
  <c r="C15" i="20"/>
  <c r="B16" i="20"/>
  <c r="C16" i="20"/>
  <c r="B17" i="20"/>
  <c r="C17" i="20"/>
  <c r="B18" i="20"/>
  <c r="C18" i="20"/>
  <c r="B19" i="20"/>
  <c r="C19" i="20"/>
  <c r="B20" i="20"/>
  <c r="C20" i="20"/>
  <c r="B21" i="20"/>
  <c r="C21" i="20"/>
  <c r="B22" i="20"/>
  <c r="C22" i="20"/>
  <c r="B23" i="20"/>
  <c r="C23" i="20"/>
  <c r="B24" i="20"/>
  <c r="C24" i="20"/>
  <c r="B25" i="20"/>
  <c r="C25" i="20"/>
  <c r="B26" i="20"/>
  <c r="C26" i="20"/>
  <c r="B27" i="20"/>
  <c r="C27" i="20"/>
  <c r="B28" i="20"/>
  <c r="C28" i="20"/>
  <c r="B29" i="20"/>
  <c r="C29" i="20"/>
  <c r="B30" i="20"/>
  <c r="C30" i="20"/>
  <c r="B31" i="20"/>
  <c r="C31" i="20"/>
  <c r="B32" i="20"/>
  <c r="C32" i="20"/>
  <c r="B33" i="20"/>
  <c r="C33" i="20"/>
  <c r="B34" i="20"/>
  <c r="C34" i="20"/>
  <c r="B35" i="20"/>
  <c r="C35" i="20"/>
  <c r="B36" i="20"/>
  <c r="C36" i="20"/>
  <c r="B37" i="20"/>
  <c r="C37" i="20"/>
  <c r="B38" i="20"/>
  <c r="C38" i="20"/>
  <c r="B39" i="20"/>
  <c r="C39" i="20"/>
  <c r="B40" i="20"/>
  <c r="C40" i="20"/>
  <c r="B41" i="20"/>
  <c r="C41" i="20"/>
  <c r="B42" i="20"/>
  <c r="C42" i="20"/>
  <c r="B43" i="20"/>
  <c r="C43" i="20"/>
  <c r="B44" i="20"/>
  <c r="C44" i="20"/>
  <c r="B45" i="20"/>
  <c r="C45" i="20"/>
  <c r="B46" i="20"/>
  <c r="C46" i="20"/>
  <c r="B47" i="20"/>
  <c r="C47" i="20"/>
  <c r="B48" i="20"/>
  <c r="C48" i="20"/>
  <c r="B49" i="20"/>
  <c r="C49" i="20"/>
  <c r="B50" i="20"/>
  <c r="C50" i="20"/>
  <c r="B51" i="20"/>
  <c r="C51" i="20"/>
  <c r="B52" i="20"/>
  <c r="C52" i="20"/>
  <c r="B53" i="20"/>
  <c r="C53" i="20"/>
  <c r="B54" i="20"/>
  <c r="C54" i="20"/>
  <c r="B55" i="20"/>
  <c r="C55" i="20"/>
  <c r="B56" i="20"/>
  <c r="C56" i="20"/>
  <c r="B57" i="20"/>
  <c r="C57" i="20"/>
  <c r="B58" i="20"/>
  <c r="C58" i="20"/>
  <c r="B59" i="20"/>
  <c r="C59" i="20"/>
  <c r="B60" i="20"/>
  <c r="C60" i="20"/>
  <c r="B61" i="20"/>
  <c r="C61" i="20"/>
  <c r="B62" i="20"/>
  <c r="C62" i="20"/>
  <c r="B63" i="20"/>
  <c r="C63" i="20"/>
  <c r="B64" i="20"/>
  <c r="C64" i="20"/>
  <c r="B65" i="20"/>
  <c r="C65" i="20"/>
  <c r="B66" i="20"/>
  <c r="C66" i="20"/>
  <c r="C2" i="20"/>
  <c r="B2" i="20"/>
  <c r="C510" i="6"/>
  <c r="B77" i="5"/>
  <c r="C509" i="6"/>
  <c r="G26" i="20"/>
  <c r="F26" i="20"/>
  <c r="E26" i="20"/>
  <c r="G25" i="20"/>
  <c r="F25" i="20"/>
  <c r="E25" i="20"/>
  <c r="G24" i="20"/>
  <c r="F24" i="20"/>
  <c r="E24" i="20"/>
  <c r="G23" i="20"/>
  <c r="F23" i="20"/>
  <c r="E23" i="20"/>
  <c r="G22" i="20"/>
  <c r="F22" i="20"/>
  <c r="E22" i="20"/>
  <c r="G21" i="20"/>
  <c r="F21" i="20"/>
  <c r="E21" i="20"/>
  <c r="G20" i="20"/>
  <c r="F20" i="20"/>
  <c r="E20" i="20"/>
  <c r="G19" i="20"/>
  <c r="F19" i="20"/>
  <c r="E19" i="20"/>
  <c r="G18" i="20"/>
  <c r="F18" i="20"/>
  <c r="E18" i="20"/>
  <c r="G17" i="20"/>
  <c r="F17" i="20"/>
  <c r="E17" i="20"/>
  <c r="G16" i="20"/>
  <c r="F16" i="20"/>
  <c r="E16" i="20"/>
  <c r="G15" i="20"/>
  <c r="F15" i="20"/>
  <c r="E15" i="20"/>
  <c r="G14" i="20"/>
  <c r="F14" i="20"/>
  <c r="E14" i="20"/>
  <c r="G13" i="20"/>
  <c r="E13" i="20"/>
  <c r="G12" i="20"/>
  <c r="F12" i="20"/>
  <c r="E12" i="20"/>
  <c r="G11" i="20"/>
  <c r="F11" i="20"/>
  <c r="E11" i="20"/>
  <c r="G10" i="20"/>
  <c r="F10" i="20"/>
  <c r="E10" i="20"/>
  <c r="G9" i="20"/>
  <c r="F9" i="20"/>
  <c r="E9" i="20"/>
  <c r="G8" i="20"/>
  <c r="F8" i="20"/>
  <c r="E8" i="20"/>
  <c r="G7" i="20"/>
  <c r="F7" i="20"/>
  <c r="E7" i="20"/>
  <c r="G6" i="20"/>
  <c r="F6" i="20"/>
  <c r="E6" i="20"/>
  <c r="G5" i="20"/>
  <c r="F5" i="20"/>
  <c r="E5" i="20"/>
  <c r="G4" i="20"/>
  <c r="F4" i="20"/>
  <c r="E4" i="20"/>
  <c r="G3" i="20"/>
  <c r="F3" i="20"/>
  <c r="E3" i="20"/>
  <c r="G2" i="20"/>
  <c r="F2" i="20"/>
  <c r="E2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27" i="20"/>
  <c r="E27" i="12" l="1"/>
  <c r="O38" i="7"/>
  <c r="C508" i="6"/>
  <c r="B36" i="7"/>
  <c r="B75" i="5"/>
  <c r="B76" i="5"/>
  <c r="C507" i="6"/>
  <c r="B74" i="5"/>
  <c r="O9" i="6"/>
  <c r="C506" i="6" l="1"/>
  <c r="C505" i="6"/>
  <c r="C504" i="6"/>
  <c r="C503" i="6"/>
  <c r="C500" i="6"/>
  <c r="C494" i="6"/>
  <c r="C502" i="6" l="1"/>
  <c r="C501" i="6"/>
  <c r="B73" i="5"/>
  <c r="B72" i="5"/>
  <c r="B71" i="5"/>
  <c r="B70" i="5"/>
  <c r="C499" i="6"/>
  <c r="C498" i="6"/>
  <c r="C497" i="6"/>
  <c r="C496" i="6"/>
  <c r="C495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8" i="6"/>
  <c r="C479" i="6"/>
  <c r="C477" i="6"/>
  <c r="C476" i="6"/>
  <c r="C475" i="6"/>
  <c r="C474" i="6"/>
  <c r="C473" i="6"/>
  <c r="C472" i="6"/>
  <c r="C471" i="6"/>
  <c r="C470" i="6"/>
  <c r="B69" i="5"/>
  <c r="B68" i="5"/>
  <c r="C469" i="6"/>
  <c r="C468" i="6"/>
  <c r="C467" i="6"/>
  <c r="J1" i="18"/>
  <c r="B3" i="18"/>
  <c r="O7" i="6"/>
  <c r="C433" i="6"/>
  <c r="C432" i="6"/>
  <c r="C431" i="6"/>
  <c r="C460" i="6"/>
  <c r="C462" i="6"/>
  <c r="C463" i="6"/>
  <c r="C461" i="6"/>
  <c r="B66" i="5"/>
  <c r="B67" i="5"/>
  <c r="C466" i="6"/>
  <c r="C465" i="6"/>
  <c r="C464" i="6"/>
  <c r="C454" i="6"/>
  <c r="C455" i="6"/>
  <c r="C456" i="6"/>
  <c r="C457" i="6"/>
  <c r="B2" i="18" l="1"/>
  <c r="C447" i="6"/>
  <c r="C446" i="6"/>
  <c r="C445" i="6"/>
  <c r="C444" i="6"/>
  <c r="C443" i="6"/>
  <c r="C448" i="6"/>
  <c r="C449" i="6"/>
  <c r="C450" i="6"/>
  <c r="C451" i="6"/>
  <c r="C452" i="6"/>
  <c r="C453" i="6"/>
  <c r="C458" i="6"/>
  <c r="C459" i="6"/>
  <c r="B65" i="5" l="1"/>
  <c r="C442" i="6"/>
  <c r="C441" i="6"/>
  <c r="C440" i="6"/>
  <c r="C439" i="6"/>
  <c r="C438" i="6"/>
  <c r="C437" i="6"/>
  <c r="C436" i="6"/>
  <c r="C435" i="6" l="1"/>
  <c r="G435" i="6"/>
  <c r="F13" i="20" s="1"/>
  <c r="C434" i="6"/>
  <c r="B64" i="5"/>
  <c r="B34" i="7" l="1"/>
  <c r="M34" i="7"/>
  <c r="N34" i="7"/>
  <c r="O34" i="7" s="1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37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5" i="7"/>
  <c r="M36" i="7"/>
  <c r="M41" i="7"/>
  <c r="M42" i="7"/>
  <c r="M43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37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5" i="7"/>
  <c r="N36" i="7"/>
  <c r="N39" i="7"/>
  <c r="N41" i="7"/>
  <c r="N42" i="7"/>
  <c r="N43" i="7"/>
  <c r="B35" i="7"/>
  <c r="O2" i="6"/>
  <c r="C430" i="6"/>
  <c r="C429" i="6"/>
  <c r="C428" i="6"/>
  <c r="C426" i="6"/>
  <c r="C427" i="6"/>
  <c r="C425" i="6"/>
  <c r="C424" i="6"/>
  <c r="G7" i="14"/>
  <c r="D7" i="14" s="1"/>
  <c r="G5" i="14"/>
  <c r="D5" i="14" s="1"/>
  <c r="G4" i="14"/>
  <c r="D4" i="14" s="1"/>
  <c r="O8" i="6"/>
  <c r="O6" i="6"/>
  <c r="C407" i="6"/>
  <c r="L9" i="6"/>
  <c r="L8" i="6"/>
  <c r="L7" i="6"/>
  <c r="L6" i="6"/>
  <c r="L5" i="6"/>
  <c r="L4" i="6"/>
  <c r="L3" i="6"/>
  <c r="L2" i="6"/>
  <c r="L10" i="6"/>
  <c r="K10" i="6"/>
  <c r="K9" i="6"/>
  <c r="K8" i="6"/>
  <c r="K7" i="6"/>
  <c r="K6" i="6"/>
  <c r="K5" i="6"/>
  <c r="K4" i="6"/>
  <c r="K3" i="6"/>
  <c r="K2" i="6"/>
  <c r="O5" i="6"/>
  <c r="O4" i="6"/>
  <c r="O3" i="6"/>
  <c r="N9" i="6"/>
  <c r="N8" i="6"/>
  <c r="N6" i="6"/>
  <c r="N5" i="6"/>
  <c r="N4" i="6"/>
  <c r="N3" i="6"/>
  <c r="N2" i="6"/>
  <c r="N7" i="6"/>
  <c r="C423" i="6"/>
  <c r="E5" i="17"/>
  <c r="E6" i="17" s="1"/>
  <c r="E7" i="17" s="1"/>
  <c r="E8" i="17" s="1"/>
  <c r="E9" i="17" s="1"/>
  <c r="E10" i="17" s="1"/>
  <c r="E11" i="17" s="1"/>
  <c r="E12" i="17" s="1"/>
  <c r="E13" i="17" s="1"/>
  <c r="E14" i="17" s="1"/>
  <c r="P3" i="6" l="1"/>
  <c r="P5" i="6"/>
  <c r="P6" i="6"/>
  <c r="P7" i="6"/>
  <c r="P8" i="6"/>
  <c r="P2" i="6"/>
  <c r="P4" i="6"/>
  <c r="P9" i="6"/>
  <c r="C422" i="6"/>
  <c r="C17" i="19" l="1"/>
  <c r="C15" i="19"/>
  <c r="C16" i="19"/>
  <c r="C14" i="19"/>
  <c r="L13" i="6"/>
  <c r="B33" i="7"/>
  <c r="B63" i="5"/>
  <c r="C421" i="6"/>
  <c r="C420" i="6"/>
  <c r="C419" i="6"/>
  <c r="C418" i="6"/>
  <c r="C414" i="6"/>
  <c r="C415" i="6"/>
  <c r="C416" i="6"/>
  <c r="C417" i="6"/>
  <c r="C405" i="6"/>
  <c r="C21" i="19" l="1"/>
  <c r="Q3" i="6"/>
  <c r="Q4" i="6"/>
  <c r="Q5" i="6"/>
  <c r="Q2" i="6"/>
  <c r="Q9" i="6"/>
  <c r="U3" i="6"/>
  <c r="U2" i="6"/>
  <c r="C412" i="6"/>
  <c r="C411" i="6"/>
  <c r="B62" i="5"/>
  <c r="C406" i="6"/>
  <c r="C404" i="6"/>
  <c r="C392" i="6"/>
  <c r="C391" i="6"/>
  <c r="C393" i="6"/>
  <c r="C397" i="6"/>
  <c r="C398" i="6"/>
  <c r="C399" i="6"/>
  <c r="C400" i="6"/>
  <c r="C389" i="6"/>
  <c r="C388" i="6"/>
  <c r="C394" i="6"/>
  <c r="C395" i="6"/>
  <c r="C396" i="6"/>
  <c r="C387" i="6"/>
  <c r="C390" i="6"/>
  <c r="C409" i="6"/>
  <c r="C408" i="6"/>
  <c r="C403" i="6"/>
  <c r="C402" i="6"/>
  <c r="C401" i="6"/>
  <c r="U5" i="6" l="1"/>
  <c r="U6" i="6" s="1"/>
  <c r="M10" i="6"/>
  <c r="M9" i="6"/>
  <c r="E35" i="16"/>
  <c r="C386" i="6" l="1"/>
  <c r="C385" i="6"/>
  <c r="B61" i="5"/>
  <c r="B60" i="5"/>
  <c r="C382" i="6"/>
  <c r="C381" i="6"/>
  <c r="B59" i="5"/>
  <c r="C380" i="6"/>
  <c r="C379" i="6" l="1"/>
  <c r="C378" i="6" l="1"/>
  <c r="C377" i="6"/>
  <c r="C375" i="6" l="1"/>
  <c r="C376" i="6"/>
  <c r="C374" i="6"/>
  <c r="C373" i="6"/>
  <c r="C372" i="6"/>
  <c r="C371" i="6"/>
  <c r="B58" i="5" l="1"/>
  <c r="C366" i="6"/>
  <c r="C365" i="6"/>
  <c r="C370" i="6"/>
  <c r="C369" i="6"/>
  <c r="C368" i="6"/>
  <c r="O35" i="16" l="1"/>
  <c r="J29" i="16"/>
  <c r="L29" i="16"/>
  <c r="M29" i="16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J25" i="16"/>
  <c r="J9" i="16"/>
  <c r="L25" i="16"/>
  <c r="M25" i="16" s="1"/>
  <c r="L9" i="16"/>
  <c r="M9" i="16" s="1"/>
  <c r="J8" i="16"/>
  <c r="L8" i="16"/>
  <c r="M8" i="16"/>
  <c r="J3" i="16"/>
  <c r="L3" i="16"/>
  <c r="M3" i="16"/>
  <c r="J4" i="16"/>
  <c r="L4" i="16"/>
  <c r="M4" i="16"/>
  <c r="J5" i="16"/>
  <c r="L5" i="16"/>
  <c r="M5" i="16"/>
  <c r="J6" i="16"/>
  <c r="L6" i="16"/>
  <c r="M6" i="16"/>
  <c r="J7" i="16"/>
  <c r="L7" i="16"/>
  <c r="M7" i="16"/>
  <c r="J2" i="16"/>
  <c r="L2" i="16"/>
  <c r="M2" i="16"/>
  <c r="R20" i="7"/>
  <c r="C364" i="6" l="1"/>
  <c r="C413" i="6"/>
  <c r="D17" i="14"/>
  <c r="D24" i="14" s="1"/>
  <c r="D26" i="14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B32" i="7"/>
  <c r="C360" i="6"/>
  <c r="C363" i="6"/>
  <c r="B57" i="5"/>
  <c r="C359" i="6"/>
  <c r="C358" i="6"/>
  <c r="D25" i="14" l="1"/>
  <c r="B56" i="5"/>
  <c r="C357" i="6" l="1"/>
  <c r="C356" i="6"/>
  <c r="R8" i="7" l="1"/>
  <c r="B31" i="7"/>
  <c r="B30" i="7"/>
  <c r="B29" i="7"/>
  <c r="B37" i="7"/>
  <c r="B28" i="7"/>
  <c r="C355" i="6"/>
  <c r="B55" i="5"/>
  <c r="C348" i="6"/>
  <c r="B54" i="5"/>
  <c r="C353" i="6"/>
  <c r="C351" i="6"/>
  <c r="C350" i="6"/>
  <c r="C349" i="6"/>
  <c r="B53" i="5"/>
  <c r="C343" i="6"/>
  <c r="C344" i="6"/>
  <c r="B52" i="5" l="1"/>
  <c r="C341" i="6"/>
  <c r="C340" i="6" l="1"/>
  <c r="L21" i="16"/>
  <c r="M21" i="16" s="1"/>
  <c r="J21" i="16"/>
  <c r="C338" i="6" l="1"/>
  <c r="C337" i="6"/>
  <c r="C336" i="6"/>
  <c r="C335" i="6"/>
  <c r="C333" i="6"/>
  <c r="C334" i="6"/>
  <c r="C332" i="6"/>
  <c r="C331" i="6"/>
  <c r="C330" i="6"/>
  <c r="C328" i="6"/>
  <c r="C329" i="6"/>
  <c r="C327" i="6"/>
  <c r="C326" i="6"/>
  <c r="C324" i="6"/>
  <c r="C279" i="6"/>
  <c r="C278" i="6"/>
  <c r="C323" i="6"/>
  <c r="C321" i="6"/>
  <c r="C322" i="6"/>
  <c r="B51" i="5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C320" i="6"/>
  <c r="C319" i="6"/>
  <c r="C318" i="6"/>
  <c r="C317" i="6" l="1"/>
  <c r="C316" i="6"/>
  <c r="C315" i="6"/>
  <c r="C314" i="6"/>
  <c r="C310" i="6"/>
  <c r="C311" i="6"/>
  <c r="C312" i="6"/>
  <c r="C313" i="6"/>
  <c r="C308" i="6"/>
  <c r="C309" i="6"/>
  <c r="C305" i="6"/>
  <c r="C304" i="6"/>
  <c r="C307" i="6"/>
  <c r="C306" i="6"/>
  <c r="C303" i="6"/>
  <c r="C302" i="6"/>
  <c r="L24" i="16"/>
  <c r="M24" i="16" s="1"/>
  <c r="J24" i="16"/>
  <c r="L16" i="16"/>
  <c r="M16" i="16" s="1"/>
  <c r="L31" i="16"/>
  <c r="M31" i="16" s="1"/>
  <c r="L26" i="16"/>
  <c r="M26" i="16" s="1"/>
  <c r="L28" i="16"/>
  <c r="M28" i="16" s="1"/>
  <c r="L17" i="16"/>
  <c r="M17" i="16" s="1"/>
  <c r="L33" i="16"/>
  <c r="M33" i="16" s="1"/>
  <c r="L23" i="16"/>
  <c r="M23" i="16" s="1"/>
  <c r="L30" i="16"/>
  <c r="M30" i="16" s="1"/>
  <c r="L32" i="16"/>
  <c r="M32" i="16" s="1"/>
  <c r="L22" i="16"/>
  <c r="M22" i="16" s="1"/>
  <c r="L12" i="16"/>
  <c r="M12" i="16" s="1"/>
  <c r="L10" i="16"/>
  <c r="M10" i="16" s="1"/>
  <c r="L14" i="16"/>
  <c r="M14" i="16" s="1"/>
  <c r="L18" i="16"/>
  <c r="M18" i="16" s="1"/>
  <c r="L27" i="16"/>
  <c r="M27" i="16" s="1"/>
  <c r="L11" i="16"/>
  <c r="M11" i="16" s="1"/>
  <c r="L13" i="16"/>
  <c r="M13" i="16" s="1"/>
  <c r="L19" i="16"/>
  <c r="M19" i="16" s="1"/>
  <c r="L15" i="16"/>
  <c r="M15" i="16" s="1"/>
  <c r="L20" i="16"/>
  <c r="M20" i="16" s="1"/>
  <c r="J30" i="16"/>
  <c r="J16" i="16"/>
  <c r="J31" i="16"/>
  <c r="J26" i="16"/>
  <c r="J28" i="16"/>
  <c r="J33" i="16"/>
  <c r="J17" i="16"/>
  <c r="J23" i="16"/>
  <c r="J32" i="16"/>
  <c r="J22" i="16"/>
  <c r="J12" i="16"/>
  <c r="J10" i="16"/>
  <c r="J14" i="16"/>
  <c r="J18" i="16"/>
  <c r="J27" i="16"/>
  <c r="J11" i="16"/>
  <c r="J13" i="16"/>
  <c r="J19" i="16"/>
  <c r="J15" i="16"/>
  <c r="J20" i="16"/>
  <c r="C342" i="6"/>
  <c r="C339" i="6"/>
  <c r="C354" i="6"/>
  <c r="C367" i="6"/>
  <c r="C362" i="6"/>
  <c r="C383" i="6"/>
  <c r="C352" i="6"/>
  <c r="C345" i="6"/>
  <c r="C346" i="6"/>
  <c r="C410" i="6"/>
  <c r="C347" i="6"/>
  <c r="C361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5" i="6"/>
  <c r="C286" i="6"/>
  <c r="C283" i="6"/>
  <c r="C284" i="6"/>
  <c r="C282" i="6" l="1"/>
  <c r="C281" i="6"/>
  <c r="C280" i="6"/>
  <c r="B50" i="5"/>
  <c r="C277" i="6"/>
  <c r="C276" i="6"/>
  <c r="C275" i="6"/>
  <c r="B49" i="5"/>
  <c r="C249" i="6"/>
  <c r="C274" i="6"/>
  <c r="C273" i="6"/>
  <c r="C272" i="6"/>
  <c r="C271" i="6"/>
  <c r="C269" i="6"/>
  <c r="C270" i="6"/>
  <c r="B48" i="5"/>
  <c r="C268" i="6"/>
  <c r="C267" i="6"/>
  <c r="C266" i="6"/>
  <c r="B47" i="5"/>
  <c r="C288" i="6"/>
  <c r="C241" i="6"/>
  <c r="C265" i="6" l="1"/>
  <c r="C264" i="6"/>
  <c r="C263" i="6"/>
  <c r="D33" i="2"/>
  <c r="F33" i="2" s="1"/>
  <c r="F34" i="2" s="1"/>
  <c r="B46" i="5"/>
  <c r="C261" i="6"/>
  <c r="B45" i="5"/>
  <c r="C260" i="6"/>
  <c r="C257" i="6"/>
  <c r="B44" i="5"/>
  <c r="C255" i="6"/>
  <c r="C250" i="6"/>
  <c r="C251" i="6"/>
  <c r="C252" i="6"/>
  <c r="C253" i="6"/>
  <c r="C254" i="6"/>
  <c r="C248" i="6"/>
  <c r="C247" i="6"/>
  <c r="C246" i="6"/>
  <c r="C245" i="6"/>
  <c r="B43" i="5"/>
  <c r="B42" i="5"/>
  <c r="C244" i="6"/>
  <c r="C237" i="6"/>
  <c r="C236" i="6"/>
  <c r="C235" i="6" l="1"/>
  <c r="C231" i="6"/>
  <c r="C230" i="6"/>
  <c r="C229" i="6"/>
  <c r="C227" i="6"/>
  <c r="B41" i="5"/>
  <c r="C226" i="6"/>
  <c r="C219" i="6"/>
  <c r="C225" i="6"/>
  <c r="C224" i="6"/>
  <c r="C223" i="6"/>
  <c r="B40" i="5"/>
  <c r="C262" i="6"/>
  <c r="C325" i="6"/>
  <c r="C258" i="6"/>
  <c r="C259" i="6"/>
  <c r="C222" i="6"/>
  <c r="C221" i="6"/>
  <c r="U3" i="7"/>
  <c r="U2" i="7"/>
  <c r="B39" i="5"/>
  <c r="U6" i="7" l="1"/>
  <c r="B24" i="13"/>
  <c r="B22" i="13"/>
  <c r="B25" i="13" s="1"/>
  <c r="B21" i="13"/>
  <c r="N19" i="13"/>
  <c r="J19" i="13"/>
  <c r="D19" i="13"/>
  <c r="F19" i="13" s="1"/>
  <c r="B23" i="13" l="1"/>
  <c r="P19" i="13"/>
  <c r="O19" i="13"/>
  <c r="C220" i="6"/>
  <c r="C287" i="6"/>
  <c r="C232" i="6"/>
  <c r="C233" i="6"/>
  <c r="C238" i="6"/>
  <c r="C256" i="6"/>
  <c r="C239" i="6"/>
  <c r="C240" i="6"/>
  <c r="C242" i="6"/>
  <c r="C228" i="6"/>
  <c r="C243" i="6"/>
  <c r="C234" i="6"/>
  <c r="C384" i="6"/>
  <c r="B38" i="5" l="1"/>
  <c r="C218" i="6"/>
  <c r="C217" i="6"/>
  <c r="C216" i="6"/>
  <c r="C214" i="6"/>
  <c r="C215" i="6"/>
  <c r="C213" i="6"/>
  <c r="C212" i="6"/>
  <c r="C211" i="6"/>
  <c r="C210" i="6"/>
  <c r="C209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C208" i="6"/>
  <c r="C207" i="6"/>
  <c r="C206" i="6"/>
  <c r="C205" i="6"/>
  <c r="C204" i="6"/>
  <c r="B9" i="13"/>
  <c r="B8" i="13"/>
  <c r="D6" i="13"/>
  <c r="F6" i="13"/>
  <c r="H6" i="13"/>
  <c r="J6" i="13"/>
  <c r="L6" i="13"/>
  <c r="N6" i="13"/>
  <c r="O6" i="13"/>
  <c r="P6" i="13"/>
  <c r="C203" i="6"/>
  <c r="C202" i="6"/>
  <c r="C201" i="6"/>
  <c r="C200" i="6"/>
  <c r="C199" i="6"/>
  <c r="C198" i="6"/>
  <c r="C197" i="6"/>
  <c r="C195" i="6"/>
  <c r="C196" i="6"/>
  <c r="C193" i="6"/>
  <c r="C194" i="6"/>
  <c r="C192" i="6"/>
  <c r="C191" i="6"/>
  <c r="C190" i="6"/>
  <c r="C189" i="6"/>
  <c r="C188" i="6"/>
  <c r="C187" i="6"/>
  <c r="C186" i="6"/>
  <c r="C185" i="6"/>
  <c r="R18" i="7"/>
  <c r="C5" i="12"/>
  <c r="C184" i="6"/>
  <c r="C183" i="6"/>
  <c r="C182" i="6"/>
  <c r="C181" i="6"/>
  <c r="C178" i="6"/>
  <c r="C180" i="6"/>
  <c r="C179" i="6"/>
  <c r="C177" i="6"/>
  <c r="C176" i="6"/>
  <c r="B12" i="13" l="1"/>
  <c r="B10" i="13"/>
  <c r="C174" i="6"/>
  <c r="C170" i="6"/>
  <c r="C171" i="6"/>
  <c r="C172" i="6"/>
  <c r="C173" i="6"/>
  <c r="C24" i="6"/>
  <c r="L2" i="13"/>
  <c r="N2" i="13" s="1"/>
  <c r="H2" i="13"/>
  <c r="J2" i="13" s="1"/>
  <c r="D2" i="13"/>
  <c r="F2" i="13" s="1"/>
  <c r="O2" i="13" s="1"/>
  <c r="C167" i="6"/>
  <c r="C168" i="6"/>
  <c r="C169" i="6"/>
  <c r="C165" i="6"/>
  <c r="C166" i="6"/>
  <c r="C162" i="6"/>
  <c r="C161" i="6"/>
  <c r="C160" i="6"/>
  <c r="C36" i="6"/>
  <c r="C129" i="6"/>
  <c r="C118" i="6"/>
  <c r="C158" i="6"/>
  <c r="C157" i="6"/>
  <c r="C156" i="6"/>
  <c r="C155" i="6"/>
  <c r="C154" i="6"/>
  <c r="C153" i="6"/>
  <c r="P2" i="13" l="1"/>
  <c r="C164" i="6"/>
  <c r="C151" i="6"/>
  <c r="C150" i="6"/>
  <c r="C146" i="6" l="1"/>
  <c r="C145" i="6"/>
  <c r="C144" i="6"/>
  <c r="C143" i="6"/>
  <c r="C142" i="6"/>
  <c r="C141" i="6"/>
  <c r="C140" i="6"/>
  <c r="C139" i="6"/>
  <c r="C175" i="6"/>
  <c r="C147" i="6"/>
  <c r="C148" i="6"/>
  <c r="C159" i="6"/>
  <c r="C149" i="6"/>
  <c r="C152" i="6"/>
  <c r="C163" i="6"/>
  <c r="C138" i="6"/>
  <c r="C137" i="6"/>
  <c r="C136" i="6"/>
  <c r="C135" i="6"/>
  <c r="C134" i="6"/>
  <c r="C133" i="6"/>
  <c r="C132" i="6" l="1"/>
  <c r="C131" i="6"/>
  <c r="C130" i="6"/>
  <c r="C128" i="6"/>
  <c r="C127" i="6"/>
  <c r="C126" i="6"/>
  <c r="C125" i="6"/>
  <c r="C124" i="6"/>
  <c r="C123" i="6"/>
  <c r="R25" i="7" l="1"/>
  <c r="R32" i="7" s="1"/>
  <c r="C122" i="6"/>
  <c r="C121" i="6"/>
  <c r="C120" i="6"/>
  <c r="C119" i="6"/>
  <c r="C117" i="6" l="1"/>
  <c r="C116" i="6"/>
  <c r="C115" i="6"/>
  <c r="C114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2" i="4"/>
  <c r="E19" i="4" l="1"/>
  <c r="R36" i="7"/>
  <c r="D10" i="12"/>
  <c r="A11" i="12"/>
  <c r="B10" i="12"/>
  <c r="C113" i="6"/>
  <c r="C112" i="6"/>
  <c r="C111" i="6"/>
  <c r="C110" i="6"/>
  <c r="C109" i="6"/>
  <c r="C37" i="6"/>
  <c r="C103" i="6"/>
  <c r="R9" i="7"/>
  <c r="C108" i="6"/>
  <c r="C107" i="6"/>
  <c r="C106" i="6"/>
  <c r="C105" i="6"/>
  <c r="C104" i="6"/>
  <c r="C102" i="6"/>
  <c r="C101" i="6"/>
  <c r="C100" i="6"/>
  <c r="C99" i="6"/>
  <c r="C98" i="6"/>
  <c r="C97" i="6"/>
  <c r="C96" i="6"/>
  <c r="C95" i="6"/>
  <c r="C94" i="6"/>
  <c r="C92" i="6"/>
  <c r="C91" i="6"/>
  <c r="C90" i="6"/>
  <c r="C89" i="6"/>
  <c r="C88" i="6"/>
  <c r="C87" i="6"/>
  <c r="C93" i="6"/>
  <c r="C85" i="6"/>
  <c r="C84" i="6"/>
  <c r="C83" i="6"/>
  <c r="C82" i="6"/>
  <c r="C81" i="6"/>
  <c r="C80" i="6"/>
  <c r="C79" i="6"/>
  <c r="C78" i="6"/>
  <c r="C77" i="6"/>
  <c r="C76" i="6"/>
  <c r="C75" i="6"/>
  <c r="C58" i="6"/>
  <c r="C57" i="6"/>
  <c r="C74" i="6"/>
  <c r="C73" i="6"/>
  <c r="C72" i="6"/>
  <c r="C86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6" i="6"/>
  <c r="C40" i="6"/>
  <c r="C54" i="6"/>
  <c r="C53" i="6"/>
  <c r="C52" i="6"/>
  <c r="C51" i="6"/>
  <c r="C49" i="6"/>
  <c r="C48" i="6"/>
  <c r="C47" i="6"/>
  <c r="C46" i="6"/>
  <c r="C45" i="6"/>
  <c r="C44" i="6"/>
  <c r="C43" i="6"/>
  <c r="C42" i="6"/>
  <c r="C41" i="6"/>
  <c r="C39" i="6"/>
  <c r="C38" i="6"/>
  <c r="C35" i="6"/>
  <c r="C34" i="6"/>
  <c r="C33" i="6"/>
  <c r="C32" i="6"/>
  <c r="C31" i="6"/>
  <c r="C30" i="6"/>
  <c r="C29" i="6"/>
  <c r="C28" i="6"/>
  <c r="C27" i="6"/>
  <c r="C26" i="6"/>
  <c r="C25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2" i="4"/>
  <c r="B2" i="5"/>
  <c r="B11" i="12" l="1"/>
  <c r="R33" i="7"/>
  <c r="R34" i="7" s="1"/>
  <c r="I20" i="4"/>
  <c r="A30" i="5"/>
  <c r="C4" i="12"/>
  <c r="F10" i="12" s="1"/>
  <c r="D11" i="12"/>
  <c r="A12" i="12"/>
  <c r="M8" i="6"/>
  <c r="R2" i="7"/>
  <c r="G11" i="12" l="1"/>
  <c r="F11" i="12"/>
  <c r="H11" i="12"/>
  <c r="H10" i="12"/>
  <c r="B12" i="12"/>
  <c r="D12" i="12"/>
  <c r="F12" i="12" s="1"/>
  <c r="A13" i="12"/>
  <c r="M6" i="6"/>
  <c r="M7" i="6"/>
  <c r="C2" i="6"/>
  <c r="G12" i="12" l="1"/>
  <c r="H12" i="12"/>
  <c r="A14" i="12"/>
  <c r="B13" i="12"/>
  <c r="D13" i="12"/>
  <c r="C6" i="4"/>
  <c r="D6" i="4"/>
  <c r="F6" i="4"/>
  <c r="H6" i="4"/>
  <c r="C7" i="4"/>
  <c r="D7" i="4"/>
  <c r="F7" i="4"/>
  <c r="H7" i="4"/>
  <c r="C8" i="4"/>
  <c r="D8" i="4"/>
  <c r="F8" i="4"/>
  <c r="H8" i="4"/>
  <c r="C9" i="4"/>
  <c r="D9" i="4"/>
  <c r="F9" i="4"/>
  <c r="H9" i="4"/>
  <c r="C10" i="4"/>
  <c r="D10" i="4"/>
  <c r="F10" i="4"/>
  <c r="H10" i="4"/>
  <c r="C11" i="4"/>
  <c r="D11" i="4"/>
  <c r="F11" i="4"/>
  <c r="H11" i="4"/>
  <c r="C12" i="4"/>
  <c r="D12" i="4"/>
  <c r="F12" i="4"/>
  <c r="H12" i="4"/>
  <c r="C13" i="4"/>
  <c r="D13" i="4"/>
  <c r="F13" i="4"/>
  <c r="H13" i="4"/>
  <c r="C14" i="4"/>
  <c r="D14" i="4"/>
  <c r="F14" i="4"/>
  <c r="H14" i="4"/>
  <c r="C15" i="4"/>
  <c r="D15" i="4"/>
  <c r="F15" i="4"/>
  <c r="H15" i="4"/>
  <c r="C16" i="4"/>
  <c r="D16" i="4"/>
  <c r="F16" i="4"/>
  <c r="H16" i="4"/>
  <c r="C17" i="4"/>
  <c r="D17" i="4"/>
  <c r="F17" i="4"/>
  <c r="H17" i="4"/>
  <c r="G13" i="12" l="1"/>
  <c r="F13" i="12"/>
  <c r="H13" i="12"/>
  <c r="B14" i="12"/>
  <c r="A15" i="12"/>
  <c r="D14" i="12"/>
  <c r="G14" i="4"/>
  <c r="G8" i="4"/>
  <c r="G13" i="4"/>
  <c r="G10" i="4"/>
  <c r="G7" i="4"/>
  <c r="G17" i="4"/>
  <c r="G11" i="4"/>
  <c r="G16" i="4"/>
  <c r="G15" i="4"/>
  <c r="G9" i="4"/>
  <c r="G12" i="4"/>
  <c r="D15" i="12"/>
  <c r="F15" i="12" s="1"/>
  <c r="A16" i="12"/>
  <c r="B15" i="12"/>
  <c r="J15" i="4"/>
  <c r="J17" i="4"/>
  <c r="J13" i="4"/>
  <c r="J10" i="4"/>
  <c r="J7" i="4"/>
  <c r="B2" i="19" s="1"/>
  <c r="B5" i="19" s="1"/>
  <c r="B7" i="19" s="1"/>
  <c r="J9" i="4"/>
  <c r="J11" i="4"/>
  <c r="J8" i="4"/>
  <c r="J14" i="4"/>
  <c r="J16" i="4"/>
  <c r="J6" i="4"/>
  <c r="J12" i="4"/>
  <c r="R38" i="7"/>
  <c r="F2" i="4"/>
  <c r="H2" i="4"/>
  <c r="F3" i="4"/>
  <c r="H3" i="4"/>
  <c r="F4" i="4"/>
  <c r="H4" i="4"/>
  <c r="F5" i="4"/>
  <c r="H5" i="4"/>
  <c r="C2" i="4"/>
  <c r="D2" i="4"/>
  <c r="C3" i="4"/>
  <c r="D3" i="4"/>
  <c r="C4" i="4"/>
  <c r="D4" i="4"/>
  <c r="C5" i="4"/>
  <c r="D5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D15" i="19" l="1"/>
  <c r="E15" i="19" s="1"/>
  <c r="D16" i="19"/>
  <c r="E16" i="19" s="1"/>
  <c r="D17" i="19"/>
  <c r="E17" i="19" s="1"/>
  <c r="B8" i="19"/>
  <c r="D14" i="19"/>
  <c r="E14" i="19" s="1"/>
  <c r="G14" i="12"/>
  <c r="F14" i="12"/>
  <c r="K7" i="4"/>
  <c r="G15" i="12"/>
  <c r="H14" i="12"/>
  <c r="H15" i="12"/>
  <c r="F19" i="4"/>
  <c r="H20" i="4"/>
  <c r="K12" i="4"/>
  <c r="K8" i="4"/>
  <c r="G5" i="4"/>
  <c r="G3" i="4"/>
  <c r="G4" i="4"/>
  <c r="G6" i="4"/>
  <c r="K14" i="4"/>
  <c r="K16" i="4"/>
  <c r="K15" i="4"/>
  <c r="K11" i="4"/>
  <c r="K17" i="4"/>
  <c r="K10" i="4"/>
  <c r="K9" i="4"/>
  <c r="K13" i="4"/>
  <c r="D35" i="2"/>
  <c r="D34" i="2"/>
  <c r="D16" i="12"/>
  <c r="B16" i="12"/>
  <c r="A17" i="12"/>
  <c r="J5" i="4"/>
  <c r="J4" i="4"/>
  <c r="J3" i="4"/>
  <c r="J2" i="4"/>
  <c r="D18" i="19" l="1"/>
  <c r="E18" i="19" s="1"/>
  <c r="F17" i="19"/>
  <c r="F16" i="19"/>
  <c r="F14" i="19"/>
  <c r="F15" i="19"/>
  <c r="G16" i="12"/>
  <c r="F16" i="12"/>
  <c r="H16" i="12"/>
  <c r="F20" i="4"/>
  <c r="J20" i="4"/>
  <c r="K3" i="4"/>
  <c r="K4" i="4"/>
  <c r="K5" i="4"/>
  <c r="K6" i="4"/>
  <c r="D17" i="12"/>
  <c r="A18" i="12"/>
  <c r="B17" i="12"/>
  <c r="M3" i="6"/>
  <c r="M4" i="6"/>
  <c r="M5" i="6"/>
  <c r="F18" i="19" l="1"/>
  <c r="D19" i="19"/>
  <c r="E19" i="19" s="1"/>
  <c r="G17" i="12"/>
  <c r="F17" i="12"/>
  <c r="H17" i="12"/>
  <c r="M2" i="6"/>
  <c r="D18" i="12"/>
  <c r="A19" i="12"/>
  <c r="B18" i="12"/>
  <c r="F19" i="19" l="1"/>
  <c r="E21" i="19" s="1"/>
  <c r="D21" i="19"/>
  <c r="G18" i="12"/>
  <c r="F18" i="12"/>
  <c r="H18" i="12"/>
  <c r="D19" i="12"/>
  <c r="A20" i="12"/>
  <c r="B19" i="12"/>
  <c r="F21" i="19" l="1"/>
  <c r="G19" i="12"/>
  <c r="F19" i="12"/>
  <c r="H19" i="12"/>
  <c r="D20" i="12"/>
  <c r="B20" i="12"/>
  <c r="A21" i="12"/>
  <c r="G20" i="12" l="1"/>
  <c r="F20" i="12"/>
  <c r="H20" i="12"/>
  <c r="D21" i="12"/>
  <c r="A22" i="12"/>
  <c r="B21" i="12"/>
  <c r="G21" i="12" l="1"/>
  <c r="F21" i="12"/>
  <c r="H21" i="12"/>
  <c r="D22" i="12"/>
  <c r="A23" i="12"/>
  <c r="B22" i="12"/>
  <c r="G22" i="12" l="1"/>
  <c r="F22" i="12"/>
  <c r="H22" i="12"/>
  <c r="D23" i="12"/>
  <c r="A24" i="12"/>
  <c r="B23" i="12"/>
  <c r="G23" i="12" l="1"/>
  <c r="F23" i="12"/>
  <c r="H23" i="12"/>
  <c r="D24" i="12"/>
  <c r="B24" i="12"/>
  <c r="A25" i="12"/>
  <c r="G24" i="12" l="1"/>
  <c r="F24" i="12"/>
  <c r="H24" i="12"/>
  <c r="B25" i="12"/>
  <c r="D25" i="12"/>
  <c r="F25" i="12" s="1"/>
  <c r="H25" i="12" l="1"/>
  <c r="H27" i="12" s="1"/>
  <c r="G25" i="12"/>
  <c r="D27" i="12"/>
  <c r="A31" i="5" l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3" i="6"/>
  <c r="A4" i="6" s="1"/>
  <c r="A5" i="6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l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l="1"/>
  <c r="A35" i="7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36" i="7" l="1"/>
  <c r="A37" i="7" s="1"/>
  <c r="A38" i="7" s="1"/>
  <c r="A118" i="6"/>
  <c r="A119" i="6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O4" i="7"/>
  <c r="N3" i="16" s="1"/>
  <c r="O19" i="7"/>
  <c r="N10" i="16" s="1"/>
  <c r="R3" i="7"/>
  <c r="R4" i="7" s="1"/>
  <c r="O5" i="7"/>
  <c r="N4" i="16" s="1"/>
  <c r="O3" i="7"/>
  <c r="N2" i="16" s="1"/>
  <c r="O43" i="7"/>
  <c r="O42" i="7"/>
  <c r="O41" i="7"/>
  <c r="O39" i="7"/>
  <c r="O36" i="7"/>
  <c r="O35" i="7"/>
  <c r="O33" i="7"/>
  <c r="O32" i="7"/>
  <c r="N9" i="16" s="1"/>
  <c r="O31" i="7"/>
  <c r="N25" i="16" s="1"/>
  <c r="O30" i="7"/>
  <c r="N21" i="16" s="1"/>
  <c r="O29" i="7"/>
  <c r="N29" i="16" s="1"/>
  <c r="O28" i="7"/>
  <c r="N20" i="16" s="1"/>
  <c r="O27" i="7"/>
  <c r="N15" i="16" s="1"/>
  <c r="O26" i="7"/>
  <c r="N19" i="16" s="1"/>
  <c r="O25" i="7"/>
  <c r="N8" i="16" s="1"/>
  <c r="O24" i="7"/>
  <c r="N13" i="16" s="1"/>
  <c r="O23" i="7"/>
  <c r="N11" i="16" s="1"/>
  <c r="O22" i="7"/>
  <c r="N27" i="16" s="1"/>
  <c r="O21" i="7"/>
  <c r="N18" i="16" s="1"/>
  <c r="O20" i="7"/>
  <c r="N14" i="16" s="1"/>
  <c r="O18" i="7"/>
  <c r="N12" i="16" s="1"/>
  <c r="O17" i="7"/>
  <c r="N22" i="16" s="1"/>
  <c r="O16" i="7"/>
  <c r="N32" i="16" s="1"/>
  <c r="O37" i="7"/>
  <c r="N30" i="16" s="1"/>
  <c r="O15" i="7"/>
  <c r="N23" i="16" s="1"/>
  <c r="O14" i="7"/>
  <c r="O13" i="7"/>
  <c r="N17" i="16" s="1"/>
  <c r="O12" i="7"/>
  <c r="N33" i="16" s="1"/>
  <c r="O11" i="7"/>
  <c r="N28" i="16" s="1"/>
  <c r="O10" i="7"/>
  <c r="N6" i="16" s="1"/>
  <c r="O9" i="7"/>
  <c r="N26" i="16" s="1"/>
  <c r="O8" i="7"/>
  <c r="N31" i="16" s="1"/>
  <c r="O7" i="7"/>
  <c r="N24" i="16" s="1"/>
  <c r="O6" i="7"/>
  <c r="N5" i="16" s="1"/>
  <c r="O2" i="7"/>
  <c r="N16" i="16" s="1"/>
  <c r="R10" i="7" l="1"/>
  <c r="A431" i="6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N7" i="16"/>
  <c r="S4" i="16" s="1"/>
  <c r="S3" i="16"/>
  <c r="S2" i="16"/>
  <c r="R13" i="7" l="1"/>
  <c r="R11" i="7"/>
  <c r="R12" i="7" s="1"/>
  <c r="A454" i="6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N35" i="16"/>
  <c r="S6" i="16"/>
  <c r="R14" i="7" l="1"/>
  <c r="R39" i="7" s="1"/>
  <c r="R40" i="7" s="1"/>
  <c r="R41" i="7" s="1"/>
  <c r="R42" i="7" s="1"/>
  <c r="A494" i="6"/>
  <c r="A495" i="6" s="1"/>
  <c r="A496" i="6" s="1"/>
  <c r="A497" i="6" s="1"/>
  <c r="A498" i="6" s="1"/>
  <c r="A499" i="6" s="1"/>
  <c r="A500" i="6" s="1"/>
  <c r="A501" i="6" s="1"/>
  <c r="A502" i="6" s="1"/>
  <c r="A503" i="6" l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66" i="5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</calcChain>
</file>

<file path=xl/sharedStrings.xml><?xml version="1.0" encoding="utf-8"?>
<sst xmlns="http://schemas.openxmlformats.org/spreadsheetml/2006/main" count="3484" uniqueCount="773">
  <si>
    <t>Sno</t>
  </si>
  <si>
    <t>Date</t>
  </si>
  <si>
    <t>Month</t>
  </si>
  <si>
    <t>Year</t>
  </si>
  <si>
    <t>Deal Wins(N)</t>
  </si>
  <si>
    <t>Contract</t>
  </si>
  <si>
    <t>MOM-Growth</t>
  </si>
  <si>
    <t>Income</t>
  </si>
  <si>
    <t>Expense</t>
  </si>
  <si>
    <t>Profit</t>
  </si>
  <si>
    <t>Total</t>
  </si>
  <si>
    <t>Pending Amount</t>
  </si>
  <si>
    <t>ArgosMob Tech &amp; AI Pvt LTD, Feb 2026, P/L Distribution</t>
  </si>
  <si>
    <t>Total profit</t>
  </si>
  <si>
    <t>Director Salary</t>
  </si>
  <si>
    <t>Monthly expenses Adjustments</t>
  </si>
  <si>
    <t>Net Profit</t>
  </si>
  <si>
    <t>Profit/Partner</t>
  </si>
  <si>
    <t>Salary+Profit</t>
  </si>
  <si>
    <t>Salary</t>
  </si>
  <si>
    <t>Adjustment</t>
  </si>
  <si>
    <t>Settlement Amout</t>
  </si>
  <si>
    <t>Chandan</t>
  </si>
  <si>
    <t>Krishan</t>
  </si>
  <si>
    <t>Rishab</t>
  </si>
  <si>
    <t>Vansh</t>
  </si>
  <si>
    <t>Dr Chadha</t>
  </si>
  <si>
    <t>Jitender sir</t>
  </si>
  <si>
    <t>Week Number</t>
  </si>
  <si>
    <t>Day</t>
  </si>
  <si>
    <t>Revenue</t>
  </si>
  <si>
    <t>Expenses</t>
  </si>
  <si>
    <t>New Orders</t>
  </si>
  <si>
    <t>Change in old project</t>
  </si>
  <si>
    <t>Team</t>
  </si>
  <si>
    <t>Name</t>
  </si>
  <si>
    <t>Location</t>
  </si>
  <si>
    <t>Comments</t>
  </si>
  <si>
    <t>DOJ</t>
  </si>
  <si>
    <t>HR</t>
  </si>
  <si>
    <t>Ravleen Kaur</t>
  </si>
  <si>
    <t>Office</t>
  </si>
  <si>
    <t>DOJ- 27-1-2026</t>
  </si>
  <si>
    <t>Mobile</t>
  </si>
  <si>
    <t>Prashant</t>
  </si>
  <si>
    <t>DOJ- 28-10-2025</t>
  </si>
  <si>
    <t>Aditya Jain</t>
  </si>
  <si>
    <t>Ishika Sharma</t>
  </si>
  <si>
    <t>Shubham Dubey</t>
  </si>
  <si>
    <t>Sales</t>
  </si>
  <si>
    <t>Haider</t>
  </si>
  <si>
    <t>DOJ- 27-10-2025</t>
  </si>
  <si>
    <t>Avani Shree</t>
  </si>
  <si>
    <t>Mobile+Back End</t>
  </si>
  <si>
    <t>Priyanka</t>
  </si>
  <si>
    <t>DOJ- 10-11-2025</t>
  </si>
  <si>
    <t>Web - Back end</t>
  </si>
  <si>
    <t>Dev kumar Sharma</t>
  </si>
  <si>
    <t>WFH</t>
  </si>
  <si>
    <t>Video Editor</t>
  </si>
  <si>
    <t>Resource 1</t>
  </si>
  <si>
    <t>Tester</t>
  </si>
  <si>
    <t>Ranjeet</t>
  </si>
  <si>
    <t>Akansha Giri</t>
  </si>
  <si>
    <t>Yash Vohra</t>
  </si>
  <si>
    <t>Asmita Pandey</t>
  </si>
  <si>
    <t>Total Salary</t>
  </si>
  <si>
    <t>Office rent</t>
  </si>
  <si>
    <t>Misc</t>
  </si>
  <si>
    <t>Marketing</t>
  </si>
  <si>
    <t>IT subscriptions</t>
  </si>
  <si>
    <t>Total Monthly Expenses</t>
  </si>
  <si>
    <t>Annual Expenses</t>
  </si>
  <si>
    <t>50lac</t>
  </si>
  <si>
    <t>Per partner Expenses</t>
  </si>
  <si>
    <t>Feb Expenses</t>
  </si>
  <si>
    <t>Aditya</t>
  </si>
  <si>
    <t>Anoop</t>
  </si>
  <si>
    <t>Prachi Lohani</t>
  </si>
  <si>
    <t>Ishika Rawal</t>
  </si>
  <si>
    <t>Resource 2</t>
  </si>
  <si>
    <t>Testing</t>
  </si>
  <si>
    <t>Resource 3</t>
  </si>
  <si>
    <t>Project</t>
  </si>
  <si>
    <t>Sale</t>
  </si>
  <si>
    <t>Currency</t>
  </si>
  <si>
    <t>Mode</t>
  </si>
  <si>
    <t>Client Name</t>
  </si>
  <si>
    <t>Country</t>
  </si>
  <si>
    <t>Type of Sale</t>
  </si>
  <si>
    <t>Project Type</t>
  </si>
  <si>
    <t>Resource</t>
  </si>
  <si>
    <t>Project Name</t>
  </si>
  <si>
    <t>State</t>
  </si>
  <si>
    <t>Income Receiver</t>
  </si>
  <si>
    <t>Row Labels</t>
  </si>
  <si>
    <t>Sum of Sale</t>
  </si>
  <si>
    <t>New Acquisition</t>
  </si>
  <si>
    <t>Android+IOS App</t>
  </si>
  <si>
    <t>N/A</t>
  </si>
  <si>
    <t>Employee India</t>
  </si>
  <si>
    <t>Taufeeq</t>
  </si>
  <si>
    <t>India</t>
  </si>
  <si>
    <t>Uttar Pradesh</t>
  </si>
  <si>
    <t>Axis Bank UPI</t>
  </si>
  <si>
    <t>Parul Sandilya</t>
  </si>
  <si>
    <t>Android App</t>
  </si>
  <si>
    <t>Makroo</t>
  </si>
  <si>
    <t>Umar</t>
  </si>
  <si>
    <t>Jammu</t>
  </si>
  <si>
    <t>Account-ArgosMob</t>
  </si>
  <si>
    <t>PhonePe</t>
  </si>
  <si>
    <t>AI</t>
  </si>
  <si>
    <t>Sushil</t>
  </si>
  <si>
    <t>Website</t>
  </si>
  <si>
    <t>Healthy Manushya</t>
  </si>
  <si>
    <t>Arun Sharma</t>
  </si>
  <si>
    <t>Punjab</t>
  </si>
  <si>
    <t>Net Banking</t>
  </si>
  <si>
    <t>Android+IOS App+Website</t>
  </si>
  <si>
    <t>MediConnect</t>
  </si>
  <si>
    <t>Brij</t>
  </si>
  <si>
    <t>Haryana</t>
  </si>
  <si>
    <t>UPI</t>
  </si>
  <si>
    <t>Grand Total</t>
  </si>
  <si>
    <t>Old Acquisition</t>
  </si>
  <si>
    <t>Fornix</t>
  </si>
  <si>
    <t>Venket</t>
  </si>
  <si>
    <t>Karnataka</t>
  </si>
  <si>
    <t>Cash</t>
  </si>
  <si>
    <t>Stenna</t>
  </si>
  <si>
    <t>Madhur Goel</t>
  </si>
  <si>
    <t>Delhi</t>
  </si>
  <si>
    <t>Bla-Bla</t>
  </si>
  <si>
    <t>Prem Reddy</t>
  </si>
  <si>
    <t xml:space="preserve">Bhardwaj hospital </t>
  </si>
  <si>
    <t>Dr Arun</t>
  </si>
  <si>
    <t>Eco Volt Solar</t>
  </si>
  <si>
    <t>Kuldeep</t>
  </si>
  <si>
    <t>Soya Products-Ecom</t>
  </si>
  <si>
    <t>M M Mishra</t>
  </si>
  <si>
    <t>Degree India</t>
  </si>
  <si>
    <t>Enlightify</t>
  </si>
  <si>
    <t>Apoorv</t>
  </si>
  <si>
    <t>Easy Rasta</t>
  </si>
  <si>
    <t>Dennis Anthony</t>
  </si>
  <si>
    <t>FitLeap</t>
  </si>
  <si>
    <t>Babu Raj</t>
  </si>
  <si>
    <t>West Bengal</t>
  </si>
  <si>
    <t>SK Car Finance</t>
  </si>
  <si>
    <t>Prateek Srivastava</t>
  </si>
  <si>
    <t>NGK</t>
  </si>
  <si>
    <t>Strini Naidu</t>
  </si>
  <si>
    <t>South Africa</t>
  </si>
  <si>
    <t>Local Market Online</t>
  </si>
  <si>
    <t>Vinod Khosla</t>
  </si>
  <si>
    <t>School Management App</t>
  </si>
  <si>
    <t>Amitosh Chaudhary</t>
  </si>
  <si>
    <t>Bihar</t>
  </si>
  <si>
    <t xml:space="preserve">Real estate Data Management </t>
  </si>
  <si>
    <t>Akash Tripathi</t>
  </si>
  <si>
    <t>Lucknow</t>
  </si>
  <si>
    <t>Gateway</t>
  </si>
  <si>
    <t>Agriebookhub</t>
  </si>
  <si>
    <t xml:space="preserve">Sanjay Kumar </t>
  </si>
  <si>
    <t>Madhya Pradesh</t>
  </si>
  <si>
    <t>Digital Poster App</t>
  </si>
  <si>
    <t>Gaurav Shashti</t>
  </si>
  <si>
    <t>Maharashtra</t>
  </si>
  <si>
    <t>Engineered Hybrid Ride-Sharing Platform</t>
  </si>
  <si>
    <t>Srishylam Jadi</t>
  </si>
  <si>
    <t>OTT App</t>
  </si>
  <si>
    <t>VanLal</t>
  </si>
  <si>
    <t>Mizoram</t>
  </si>
  <si>
    <t>Brandloomi</t>
  </si>
  <si>
    <t>Anuj</t>
  </si>
  <si>
    <t>Ireland</t>
  </si>
  <si>
    <t>Taxi App</t>
  </si>
  <si>
    <t>Md Aslam</t>
  </si>
  <si>
    <t>Urban Elite</t>
  </si>
  <si>
    <t>Mahendra</t>
  </si>
  <si>
    <t>Andaman</t>
  </si>
  <si>
    <t>Rishabh</t>
  </si>
  <si>
    <t>Fornix-website</t>
  </si>
  <si>
    <t>Local Market Online-AI work</t>
  </si>
  <si>
    <t>Account-KiloWatt</t>
  </si>
  <si>
    <t>AI LMS Portal</t>
  </si>
  <si>
    <t>Arun Swamy</t>
  </si>
  <si>
    <t>Rajasthan</t>
  </si>
  <si>
    <t>Stenna-website</t>
  </si>
  <si>
    <t>Beingpetz</t>
  </si>
  <si>
    <t>Mahesh</t>
  </si>
  <si>
    <t>Farm produce selling app</t>
  </si>
  <si>
    <t>Sadiq</t>
  </si>
  <si>
    <t>AI-maintenance</t>
  </si>
  <si>
    <t>Akansha</t>
  </si>
  <si>
    <t>Zippy Equestrian Center</t>
  </si>
  <si>
    <t>Dilip</t>
  </si>
  <si>
    <t>Beingpetz - Phase 2</t>
  </si>
  <si>
    <t>Category</t>
  </si>
  <si>
    <t>Sub-Category</t>
  </si>
  <si>
    <t>Line Item</t>
  </si>
  <si>
    <t>Amount</t>
  </si>
  <si>
    <t>Paid by</t>
  </si>
  <si>
    <t>Column1</t>
  </si>
  <si>
    <t>Person</t>
  </si>
  <si>
    <t>Net</t>
  </si>
  <si>
    <t>Income(post 28th Jan26)</t>
  </si>
  <si>
    <t>Expenses( 28th Jan26)</t>
  </si>
  <si>
    <t>Account Settlement</t>
  </si>
  <si>
    <t>Component</t>
  </si>
  <si>
    <t>FB Ads</t>
  </si>
  <si>
    <t>FB Budget : 265425466458147</t>
  </si>
  <si>
    <t>Equity</t>
  </si>
  <si>
    <t>Office expense</t>
  </si>
  <si>
    <t>Chai/Coffee</t>
  </si>
  <si>
    <t>Krishna</t>
  </si>
  <si>
    <t>Loan</t>
  </si>
  <si>
    <t>Food</t>
  </si>
  <si>
    <t>Deficit/Surplus</t>
  </si>
  <si>
    <t>Electricity Recharge</t>
  </si>
  <si>
    <t>TS-618</t>
  </si>
  <si>
    <t>Maggi/Tea</t>
  </si>
  <si>
    <t>Dialer recharge</t>
  </si>
  <si>
    <t>Jitendra ji</t>
  </si>
  <si>
    <t>Chai</t>
  </si>
  <si>
    <t>Printout</t>
  </si>
  <si>
    <t>Coffee Sachets</t>
  </si>
  <si>
    <t>Cash IN Hand</t>
  </si>
  <si>
    <t>Prachi B'day Cake</t>
  </si>
  <si>
    <t>Fun</t>
  </si>
  <si>
    <t>Tea</t>
  </si>
  <si>
    <t>Mouse</t>
  </si>
  <si>
    <t>Sum of Amount</t>
  </si>
  <si>
    <t>Lunch</t>
  </si>
  <si>
    <t>Client Expenses</t>
  </si>
  <si>
    <t>Coke lunch</t>
  </si>
  <si>
    <t>Company Expense</t>
  </si>
  <si>
    <t xml:space="preserve">Stationary </t>
  </si>
  <si>
    <t>Fixed Expense</t>
  </si>
  <si>
    <t>Previous staff salary</t>
  </si>
  <si>
    <t>Paid to Aradhna</t>
  </si>
  <si>
    <t>Basket, colin, vim bar</t>
  </si>
  <si>
    <t>Mobile recharge</t>
  </si>
  <si>
    <t>Operating Expenses</t>
  </si>
  <si>
    <t>Outsouce</t>
  </si>
  <si>
    <t>KFC</t>
  </si>
  <si>
    <t>Self Withdrawl</t>
  </si>
  <si>
    <t>Electricity</t>
  </si>
  <si>
    <t>Ice cream</t>
  </si>
  <si>
    <t>Internet</t>
  </si>
  <si>
    <t>Bank Expenses</t>
  </si>
  <si>
    <t>Non-maintenance of AQB</t>
  </si>
  <si>
    <t>Office 365: 2240920005</t>
  </si>
  <si>
    <t>Maid-618</t>
  </si>
  <si>
    <t>Self Funding</t>
  </si>
  <si>
    <t>Paid to Argomsob for rent</t>
  </si>
  <si>
    <t>Received from Chandan</t>
  </si>
  <si>
    <t>Rent</t>
  </si>
  <si>
    <t>Paid to Alok for rent 618</t>
  </si>
  <si>
    <t>Office 618</t>
  </si>
  <si>
    <t>Paid for Pool</t>
  </si>
  <si>
    <t>Faluda</t>
  </si>
  <si>
    <t>Coffee/Lemonade</t>
  </si>
  <si>
    <t>Bowling</t>
  </si>
  <si>
    <t>Tuesday</t>
  </si>
  <si>
    <t>Cartridge Refill</t>
  </si>
  <si>
    <t>Dosa</t>
  </si>
  <si>
    <t>Ice cream/Coffee</t>
  </si>
  <si>
    <t>Monday</t>
  </si>
  <si>
    <t>Paid to Chandan for FB Budget</t>
  </si>
  <si>
    <t>Self Withdrawl for Salary</t>
  </si>
  <si>
    <t>Paid to Vansh for Salary</t>
  </si>
  <si>
    <t>Self Funding for Salary</t>
  </si>
  <si>
    <t>Received from Vansh for Salary</t>
  </si>
  <si>
    <t>Sept-25 - Parul</t>
  </si>
  <si>
    <t>Sept-25 - Prachi Lohani</t>
  </si>
  <si>
    <t>Sept-25 - Dev</t>
  </si>
  <si>
    <t>Sept-25 - Piyush</t>
  </si>
  <si>
    <t>Sept-25 - Karan</t>
  </si>
  <si>
    <t>Sept-25 - Gauri</t>
  </si>
  <si>
    <t>Sept-25 - Inayat</t>
  </si>
  <si>
    <t>Self Withdrawl for Electricity</t>
  </si>
  <si>
    <t>Received for Electricity</t>
  </si>
  <si>
    <t>Paid for electricity</t>
  </si>
  <si>
    <t>Maid-1003</t>
  </si>
  <si>
    <t>Paid to maid-1003</t>
  </si>
  <si>
    <t>Paid for Diwali Event</t>
  </si>
  <si>
    <t>Windfall Income</t>
  </si>
  <si>
    <t>For Lock</t>
  </si>
  <si>
    <t>Self withdrawl</t>
  </si>
  <si>
    <t>Self withdrawal-Vansh</t>
  </si>
  <si>
    <t>For self withdrawl</t>
  </si>
  <si>
    <t>Paid for water</t>
  </si>
  <si>
    <t>For team evening lunch</t>
  </si>
  <si>
    <t>Sept-25 - Abdulla</t>
  </si>
  <si>
    <t>For Diwali-Dmart</t>
  </si>
  <si>
    <t>Paid to Anthony</t>
  </si>
  <si>
    <t>Blinkit</t>
  </si>
  <si>
    <t>For Printer Catridge</t>
  </si>
  <si>
    <t>For Stamp-Parul Client</t>
  </si>
  <si>
    <t>Self Withdrawl for Diwali Purchase</t>
  </si>
  <si>
    <t>Paid for Diwali Purchase</t>
  </si>
  <si>
    <t>Paid for Mobile-Airtel</t>
  </si>
  <si>
    <t>Self Withdrawl for wifi</t>
  </si>
  <si>
    <t>WIFI Recharge</t>
  </si>
  <si>
    <t>Team Engagaement</t>
  </si>
  <si>
    <t>Box Cricket Booking</t>
  </si>
  <si>
    <t>Scissor/Tape</t>
  </si>
  <si>
    <t>Lahori Jeera</t>
  </si>
  <si>
    <t>Paid for Food (1 sept to 30th sept)</t>
  </si>
  <si>
    <t>Paid for Box Cricket</t>
  </si>
  <si>
    <t>Paid for bowling recharge</t>
  </si>
  <si>
    <t>Paid to Aunty(Diwali)</t>
  </si>
  <si>
    <t>Paid to Baru Resturant</t>
  </si>
  <si>
    <t>For self withdrawl-All promotors</t>
  </si>
  <si>
    <t>Office 365: G119341999</t>
  </si>
  <si>
    <t>Goa Flight tickets</t>
  </si>
  <si>
    <t>Paid for Makroo - DLT</t>
  </si>
  <si>
    <t>Received for Makroo DLT</t>
  </si>
  <si>
    <t>Self withdrawl for Makroo - DLT</t>
  </si>
  <si>
    <t>CHAT GPT Premium</t>
  </si>
  <si>
    <t>Cake- Parul</t>
  </si>
  <si>
    <t>Dinner with Dr Chaddha</t>
  </si>
  <si>
    <t>Pool</t>
  </si>
  <si>
    <t>for snacks</t>
  </si>
  <si>
    <t>self withdrawl for snacks</t>
  </si>
  <si>
    <t>paid for snacks</t>
  </si>
  <si>
    <t>Piad for pool</t>
  </si>
  <si>
    <t>Coffee sachet</t>
  </si>
  <si>
    <t>Cross Funding</t>
  </si>
  <si>
    <t>Paid to Kilowat</t>
  </si>
  <si>
    <t>Received from Argosmob</t>
  </si>
  <si>
    <t>Paid to rishab for self withdrawl</t>
  </si>
  <si>
    <t>Oct-25-Parul</t>
  </si>
  <si>
    <t>Oct-25-Prachi</t>
  </si>
  <si>
    <t>Paid for pool</t>
  </si>
  <si>
    <t>Payout to Chandan for GOA hotel</t>
  </si>
  <si>
    <t>Taken payout for Goa hotel</t>
  </si>
  <si>
    <t>Water Bill</t>
  </si>
  <si>
    <t>Self withdrawl Vansh</t>
  </si>
  <si>
    <t>Self withdrawl for Vansh</t>
  </si>
  <si>
    <t>Oct-25-Inayat</t>
  </si>
  <si>
    <t>Oct-25-Karan</t>
  </si>
  <si>
    <t>Oct-25-Gauri Pandey</t>
  </si>
  <si>
    <t>FNF- Abdullah</t>
  </si>
  <si>
    <t>Phone recharge</t>
  </si>
  <si>
    <t>Chocolates</t>
  </si>
  <si>
    <t>Oct-25-Dev</t>
  </si>
  <si>
    <t>Paid to rishab for wifi recharge</t>
  </si>
  <si>
    <t>Received for Wifi recharge-Rishab</t>
  </si>
  <si>
    <t>Oct-25-Piyush Gaur</t>
  </si>
  <si>
    <t>Rent-Oct</t>
  </si>
  <si>
    <t>Paid to Chandan, self withdrawl for salary funding</t>
  </si>
  <si>
    <t>Received self withdrawl for salary funding</t>
  </si>
  <si>
    <t>Paid to Kilowat for Marketing teams Commisions</t>
  </si>
  <si>
    <t>Received from Argosmob for Marketing teams Commisions</t>
  </si>
  <si>
    <t>For self withdrawl : GOA</t>
  </si>
  <si>
    <t>Commisions</t>
  </si>
  <si>
    <t>Incentive - Prachi - Oct -25</t>
  </si>
  <si>
    <t>Self withdrawl for Goa expenses</t>
  </si>
  <si>
    <t>Office 365: G124609008</t>
  </si>
  <si>
    <t>Total In Goa Expenses</t>
  </si>
  <si>
    <t>Non maintenance penalty</t>
  </si>
  <si>
    <t>for in GOA expenses</t>
  </si>
  <si>
    <t>Maid</t>
  </si>
  <si>
    <t>Paid to maid</t>
  </si>
  <si>
    <t>Paid for tea</t>
  </si>
  <si>
    <t>Hostinger</t>
  </si>
  <si>
    <t>VPS server renew</t>
  </si>
  <si>
    <t>FB ads</t>
  </si>
  <si>
    <t>FB budget: 265425466458147</t>
  </si>
  <si>
    <t>Snacks</t>
  </si>
  <si>
    <t>Sandwich &amp; Fries</t>
  </si>
  <si>
    <t>Real estate Data Management -gateway charges</t>
  </si>
  <si>
    <t>Agriebookhub-gateway charges</t>
  </si>
  <si>
    <t>Paid for salary to kilowatt</t>
  </si>
  <si>
    <t>Send for salary to kilowatt</t>
  </si>
  <si>
    <t>Water</t>
  </si>
  <si>
    <t>Dinner(Rajat client at shiva ddhaba)</t>
  </si>
  <si>
    <t>Sweets for client</t>
  </si>
  <si>
    <t>Coffee</t>
  </si>
  <si>
    <t>Paid for Coffee - client meet</t>
  </si>
  <si>
    <t>sandwich and fries</t>
  </si>
  <si>
    <t>For Naukri portal purchase</t>
  </si>
  <si>
    <t>Medicine</t>
  </si>
  <si>
    <t>Paid for medicine</t>
  </si>
  <si>
    <t>Salary nov-25 Priyanka</t>
  </si>
  <si>
    <t>Paid to Kilowatt for salary</t>
  </si>
  <si>
    <t>Salary nov-25 Parul Sandilya</t>
  </si>
  <si>
    <t>Salary nov-25 Prachi Lohani</t>
  </si>
  <si>
    <t>Salary nov-25 Haider</t>
  </si>
  <si>
    <t>laptop cleaner</t>
  </si>
  <si>
    <t>Salary nov-25 Inayat</t>
  </si>
  <si>
    <t>Salary nov-25 Dev kumar Sharma Adjusted4k from Vansh</t>
  </si>
  <si>
    <t>Salary nov-25 Gauri Pandey</t>
  </si>
  <si>
    <t>Salary nov-25 Khushi Agarwal</t>
  </si>
  <si>
    <t>Salary nov-25 Prashant</t>
  </si>
  <si>
    <t>Birthday Cake for Priyanka</t>
  </si>
  <si>
    <t>Self withdrawl for emergency</t>
  </si>
  <si>
    <t>Shivam tea</t>
  </si>
  <si>
    <t>Bank charges for IMPS</t>
  </si>
  <si>
    <t>Parking</t>
  </si>
  <si>
    <t>Teasta coffee</t>
  </si>
  <si>
    <t>Pan</t>
  </si>
  <si>
    <t>Haldiram</t>
  </si>
  <si>
    <t>Dr Dev lunch</t>
  </si>
  <si>
    <t>Bistra 37</t>
  </si>
  <si>
    <t>Salary nov-25 Karan</t>
  </si>
  <si>
    <t>Mobile Recharge</t>
  </si>
  <si>
    <t>Office Rent</t>
  </si>
  <si>
    <t>Paid to Haider for biryani</t>
  </si>
  <si>
    <t>Paid for courier &amp; photocopy</t>
  </si>
  <si>
    <t>Monthly service charge</t>
  </si>
  <si>
    <t>Monthly service charge:Kilowatt crew</t>
  </si>
  <si>
    <t>GST=&gt;Monthly service charge:Kilowatt crew</t>
  </si>
  <si>
    <t>Microsoft 365 : G130100942</t>
  </si>
  <si>
    <t>Barbeque nation</t>
  </si>
  <si>
    <t>Printer cartridge blinkit-to be refunded</t>
  </si>
  <si>
    <t>Printer cartridge zepto</t>
  </si>
  <si>
    <t>Oct-25-Nitin Malik</t>
  </si>
  <si>
    <t>Salary Nov-25 Inayat</t>
  </si>
  <si>
    <t>Cake for Dubey</t>
  </si>
  <si>
    <t>maid payment: Nov</t>
  </si>
  <si>
    <t>Colin: Blinkit</t>
  </si>
  <si>
    <t>Printer cartridge blinkit refunded</t>
  </si>
  <si>
    <t>Box Cricket</t>
  </si>
  <si>
    <t>Self Withdrawl for Christmas team buidling activity</t>
  </si>
  <si>
    <t>Paid for Masks</t>
  </si>
  <si>
    <t>Paid for Salad (Chadha Ji)</t>
  </si>
  <si>
    <t>Paid to Mc donalds Chaddha ji</t>
  </si>
  <si>
    <t>Paid by Rishab for Chaddha ji expenses(chole bhature)</t>
  </si>
  <si>
    <t>Paid by Rishab for Chaddha ji expenses(coke)</t>
  </si>
  <si>
    <t>Paid to Zomato Chaddha ji</t>
  </si>
  <si>
    <t>Paid to Hira Sweets Chaddha ji</t>
  </si>
  <si>
    <t>Paid to McDonalds Chaddha ji</t>
  </si>
  <si>
    <t>Team ice-cream</t>
  </si>
  <si>
    <t>Cursur subscription</t>
  </si>
  <si>
    <t>Test transaction to haider re1</t>
  </si>
  <si>
    <t>Self withdrawl for Electricity</t>
  </si>
  <si>
    <t>Paid for electricity =&gt; 618</t>
  </si>
  <si>
    <t>Self funding for coffee</t>
  </si>
  <si>
    <t>Blinkit Coffee</t>
  </si>
  <si>
    <t>fun</t>
  </si>
  <si>
    <t>hira sweets =&gt; venkat</t>
  </si>
  <si>
    <t>Venkar gift=&gt; bedsheet</t>
  </si>
  <si>
    <t>ras malai</t>
  </si>
  <si>
    <t>print out</t>
  </si>
  <si>
    <t>FB budget : 551445597152549</t>
  </si>
  <si>
    <t>Tea+snacks Dec-25</t>
  </si>
  <si>
    <t>Cursor subscription</t>
  </si>
  <si>
    <t>Salary Dec-25 Prachi Lohani</t>
  </si>
  <si>
    <t>Salary Dec-25 Priyanka</t>
  </si>
  <si>
    <t>Salary Dec-25 Parul Sandilya</t>
  </si>
  <si>
    <t>MS office subscription :G132987955</t>
  </si>
  <si>
    <t>Tissue + Double side tape</t>
  </si>
  <si>
    <t>Salary Dec-25 Prashant</t>
  </si>
  <si>
    <t>Pending Salary Dec-25 Parul Sandilya</t>
  </si>
  <si>
    <t>Disposable plates, glass &amp; spoons</t>
  </si>
  <si>
    <t>paid by Vansh for payment for agribook</t>
  </si>
  <si>
    <t>received from Vansh for payment for agribook</t>
  </si>
  <si>
    <t>paid for naukri portal for sales hiring</t>
  </si>
  <si>
    <t>Salary Dec-25 Haider</t>
  </si>
  <si>
    <t>Salary Dec-25 Khushi</t>
  </si>
  <si>
    <t>Added by DEV for AI subscription</t>
  </si>
  <si>
    <t>GST=&gt;Monthly service charge</t>
  </si>
  <si>
    <t>Maid Payment: Dec-25</t>
  </si>
  <si>
    <t>send to chandan for maid payment</t>
  </si>
  <si>
    <t>receieved for maid payment</t>
  </si>
  <si>
    <t>send to argomob for maid payment</t>
  </si>
  <si>
    <t>self withdrawl</t>
  </si>
  <si>
    <t>MS office subscription :G135667292</t>
  </si>
  <si>
    <t>IMPS charges for self withdrawl</t>
  </si>
  <si>
    <t>paid for extension cord</t>
  </si>
  <si>
    <t>paid for hit and tissues.</t>
  </si>
  <si>
    <t>ordered lunch</t>
  </si>
  <si>
    <t>Mouse pad for Krishna</t>
  </si>
  <si>
    <t>Paid partial salary to Dev</t>
  </si>
  <si>
    <t>Office Rent Dec-25</t>
  </si>
  <si>
    <t>Salary nov-25 Piyush</t>
  </si>
  <si>
    <t>Paid against fund received from Venkat</t>
  </si>
  <si>
    <t>Received against fund received from Venkat</t>
  </si>
  <si>
    <t>Misc charges</t>
  </si>
  <si>
    <t>Maintenance Monthly charges: Kilowatt</t>
  </si>
  <si>
    <t>Dinner</t>
  </si>
  <si>
    <t>Chakna</t>
  </si>
  <si>
    <t>Received from Chadha ji as equity</t>
  </si>
  <si>
    <t>Received from Chadha ji as Loan</t>
  </si>
  <si>
    <t>Paid By Chadha ji as equity</t>
  </si>
  <si>
    <t>Paid By Chadha ji as Loan</t>
  </si>
  <si>
    <t>Belt</t>
  </si>
  <si>
    <t>Salary Dec-25 Dev kumar Sharma</t>
  </si>
  <si>
    <t>Breakfast with Venkat</t>
  </si>
  <si>
    <t>Paid for VPS</t>
  </si>
  <si>
    <t>To be paid to consultant for Anup hiring</t>
  </si>
  <si>
    <t>Paid for coffee and stationary</t>
  </si>
  <si>
    <t>Paid for SIM JIO</t>
  </si>
  <si>
    <t>paid for water bill</t>
  </si>
  <si>
    <t>Paid for canteen for Jan -2026</t>
  </si>
  <si>
    <t>Paid for Domain : argosmob.site</t>
  </si>
  <si>
    <t>withdrawl for comission to consultant for Anup hiring</t>
  </si>
  <si>
    <t>Received for comission to consultant for Anup hiring</t>
  </si>
  <si>
    <t>Paid for hiring on Apna Hai portal</t>
  </si>
  <si>
    <t>FB budget: 265425466458147=&gt;Paid to chandan</t>
  </si>
  <si>
    <t>Paid for Google ads: 672-050-7427=&gt; Paid to Chandan</t>
  </si>
  <si>
    <t>Paid for Google ads: 672-050-7427</t>
  </si>
  <si>
    <t>Samosa and Jira for team</t>
  </si>
  <si>
    <t>received for electricity</t>
  </si>
  <si>
    <t>Paid for Rent Agreement</t>
  </si>
  <si>
    <t>Paid for esign</t>
  </si>
  <si>
    <t>Paid for Penalty to CA for MCA</t>
  </si>
  <si>
    <t>Received by Chandan for CA paid to MCA</t>
  </si>
  <si>
    <t>Paid for Chandan for CA paid to MCA</t>
  </si>
  <si>
    <t>Self funding for linkedin post for sales hiring</t>
  </si>
  <si>
    <t>Paid for Dubey Laptop</t>
  </si>
  <si>
    <t>Salary for Jan-26 =&gt;Prashant</t>
  </si>
  <si>
    <t>Salary for Jan-26 =&gt;Anoop</t>
  </si>
  <si>
    <t>Salary for Jan-26 =&gt;Shubham Dubey</t>
  </si>
  <si>
    <t>Salary for Jan-26 =&gt;Ishika Sharma</t>
  </si>
  <si>
    <t>Salary for Jan-26 =&gt;Prachi Lohani</t>
  </si>
  <si>
    <t>Salary for Jan-26 =&gt;Priyanka</t>
  </si>
  <si>
    <t>Director Salary =&gt; Chandan(Feb - 2026)</t>
  </si>
  <si>
    <t>Director Salary =&gt; Rishabh(Feb - 2026)</t>
  </si>
  <si>
    <t>Director Salary =&gt; Krishna(Feb - 2026)</t>
  </si>
  <si>
    <t>Director Salary =&gt; Vansh(Feb - 2026)</t>
  </si>
  <si>
    <t>Salary for Jan-26 =&gt;Haider</t>
  </si>
  <si>
    <t>Salary for Jan-26 =&gt;Dev kumar Sharma</t>
  </si>
  <si>
    <t>Paid for amount received from NGK</t>
  </si>
  <si>
    <t>Received for amount received from NGK</t>
  </si>
  <si>
    <t>Director Salary =&gt; Dr Chadha(Feb - 2026)</t>
  </si>
  <si>
    <t>Received from Dubey</t>
  </si>
  <si>
    <t>Paid for Fan*2</t>
  </si>
  <si>
    <t>Received for FB budget: 265425466458147</t>
  </si>
  <si>
    <t>Self fund for client fund received</t>
  </si>
  <si>
    <t>Self funding</t>
  </si>
  <si>
    <t>paid for maid</t>
  </si>
  <si>
    <t>paid to CA for MCA</t>
  </si>
  <si>
    <t>Paid for airtel recharge</t>
  </si>
  <si>
    <t xml:space="preserve">paid for table fan </t>
  </si>
  <si>
    <t>received for table fan for AC</t>
  </si>
  <si>
    <t>paid for table fan</t>
  </si>
  <si>
    <t>gateway charges for real estate client</t>
  </si>
  <si>
    <t>sent to argosmob</t>
  </si>
  <si>
    <t>received from kilowatt</t>
  </si>
  <si>
    <t>Rent for Feb 26</t>
  </si>
  <si>
    <t>Paid to Maid =&gt; For cash requirement</t>
  </si>
  <si>
    <t>Received by Rishabh from maid</t>
  </si>
  <si>
    <t>Linked in hiring plan</t>
  </si>
  <si>
    <t>Lunch with Client=&gt; Venkat</t>
  </si>
  <si>
    <t>Marker &amp; Battery</t>
  </si>
  <si>
    <t>Screwdriver Set</t>
  </si>
  <si>
    <t>Self Withdrawl =&gt; Vansh</t>
  </si>
  <si>
    <t>Microsoft 365 subscription : G141352109</t>
  </si>
  <si>
    <t>Transferrred to KiloWatt received from Venkat Sir</t>
  </si>
  <si>
    <t>For Monthly service charge : Argosmob current account</t>
  </si>
  <si>
    <t>For Monthly Avg balance charge : Argosmob current account</t>
  </si>
  <si>
    <t>For debit card Annual charge : Argosmob current account</t>
  </si>
  <si>
    <t>Paid for 2nd line subscription =&gt; US calling</t>
  </si>
  <si>
    <t>Monthly banking charges</t>
  </si>
  <si>
    <t>Samosa for team</t>
  </si>
  <si>
    <t>paid for open AI subscription for sushil chatbot</t>
  </si>
  <si>
    <t>Paid advance for food for holi</t>
  </si>
  <si>
    <t>Print out for MCA</t>
  </si>
  <si>
    <t>Piad for kulfi</t>
  </si>
  <si>
    <t>Food : remaingin</t>
  </si>
  <si>
    <t>Beer</t>
  </si>
  <si>
    <t>Portar</t>
  </si>
  <si>
    <t>Blinkit : milk and ice cubes</t>
  </si>
  <si>
    <t>Self withdrawl for expenses</t>
  </si>
  <si>
    <t>Loan repayment for Feb 2026</t>
  </si>
  <si>
    <t>Profit =&gt; Dr Chadha(Feb - 2026)</t>
  </si>
  <si>
    <t>Profit =&gt; Chandan(Feb - 2026)</t>
  </si>
  <si>
    <t>Profit =&gt; Krishna(Feb - 2026)</t>
  </si>
  <si>
    <t>Profit =&gt; Rishabh(Feb - 2026)</t>
  </si>
  <si>
    <t>Profit =&gt; Vansh(Feb - 2026)</t>
  </si>
  <si>
    <t>paid to Krishna</t>
  </si>
  <si>
    <t>Received from Rishabh</t>
  </si>
  <si>
    <t>VPS billing</t>
  </si>
  <si>
    <t>Printout beingpetz aggrement</t>
  </si>
  <si>
    <t>Choose Resource-&gt;</t>
  </si>
  <si>
    <t>Target(multiple)</t>
  </si>
  <si>
    <t>Nov</t>
  </si>
  <si>
    <t>Monthly Target</t>
  </si>
  <si>
    <t>Total deal wins</t>
  </si>
  <si>
    <t>Incentive</t>
  </si>
  <si>
    <t>Contract Wins</t>
  </si>
  <si>
    <t>Achieved %</t>
  </si>
  <si>
    <t>Month-On-Month</t>
  </si>
  <si>
    <t xml:space="preserve">Total - &gt; </t>
  </si>
  <si>
    <t>Sum of Contract Value(INR)</t>
  </si>
  <si>
    <t>Sum of Received(INR)</t>
  </si>
  <si>
    <t>Sum of Balance(INR)</t>
  </si>
  <si>
    <t>Indgrocart</t>
  </si>
  <si>
    <t>GamifyIAS</t>
  </si>
  <si>
    <t>(blank)</t>
  </si>
  <si>
    <t>Sale Date</t>
  </si>
  <si>
    <t>Project Manager</t>
  </si>
  <si>
    <t>Contract Value</t>
  </si>
  <si>
    <t>Exchange</t>
  </si>
  <si>
    <t>Contract Value(INR)</t>
  </si>
  <si>
    <t>Received(INR)</t>
  </si>
  <si>
    <t>Balance(INR)</t>
  </si>
  <si>
    <t>Company Financial Snapshot and Next 1-year Projections</t>
  </si>
  <si>
    <t>Count</t>
  </si>
  <si>
    <t>INR</t>
  </si>
  <si>
    <t>Chandan+Rishabh</t>
  </si>
  <si>
    <t>Total Contract</t>
  </si>
  <si>
    <t>Vansh+Krishna</t>
  </si>
  <si>
    <t>Total Received</t>
  </si>
  <si>
    <t>Total Balance</t>
  </si>
  <si>
    <t>Rajesh</t>
  </si>
  <si>
    <t>Start Date</t>
  </si>
  <si>
    <t>Today</t>
  </si>
  <si>
    <t>Days Passed Business Operation</t>
  </si>
  <si>
    <t>Number of Projects</t>
  </si>
  <si>
    <t>Days/Project</t>
  </si>
  <si>
    <t>Annual Pojects Projection</t>
  </si>
  <si>
    <t>Average Contact Value</t>
  </si>
  <si>
    <t>Next 1 year Contract Value Projection</t>
  </si>
  <si>
    <t>Calculation Date</t>
  </si>
  <si>
    <t>Marketing Project Aquired</t>
  </si>
  <si>
    <t>Total FB Budget till 02-02-2026</t>
  </si>
  <si>
    <t>Office Fixed Cost</t>
  </si>
  <si>
    <t>Taken 50k fixed cost for office</t>
  </si>
  <si>
    <t>Marketing Salaries</t>
  </si>
  <si>
    <t>Parul</t>
  </si>
  <si>
    <t>Prachi</t>
  </si>
  <si>
    <t>Total Marketing Salaries</t>
  </si>
  <si>
    <t>Marketing Commisions</t>
  </si>
  <si>
    <t>Amogh</t>
  </si>
  <si>
    <t>Total Marketing Expenses</t>
  </si>
  <si>
    <t>Total Contract wins</t>
  </si>
  <si>
    <t>ROAS</t>
  </si>
  <si>
    <t>Customer Acquisition cost(CAC)</t>
  </si>
  <si>
    <t>Total Fixed Cost</t>
  </si>
  <si>
    <t>Net Profit Before TAX(EBIDA)</t>
  </si>
  <si>
    <t>Tax(25% for Pvt Ltd)</t>
  </si>
  <si>
    <t>PAT</t>
  </si>
  <si>
    <t>Per partner/month</t>
  </si>
  <si>
    <t>Contact value</t>
  </si>
  <si>
    <t>part 1</t>
  </si>
  <si>
    <t>Receieved</t>
  </si>
  <si>
    <t>Pending</t>
  </si>
  <si>
    <t>part 2</t>
  </si>
  <si>
    <t>part 3</t>
  </si>
  <si>
    <t>Current Pending</t>
  </si>
  <si>
    <t>Total Pending</t>
  </si>
  <si>
    <t>Received</t>
  </si>
  <si>
    <t>Part 2</t>
  </si>
  <si>
    <t>On Deployment</t>
  </si>
  <si>
    <t>Eco Volt</t>
  </si>
  <si>
    <t>Deliverables</t>
  </si>
  <si>
    <t>Type of sale</t>
  </si>
  <si>
    <t>Mode of Payment</t>
  </si>
  <si>
    <t>Project Status</t>
  </si>
  <si>
    <t>Joining</t>
  </si>
  <si>
    <t>Last working</t>
  </si>
  <si>
    <t>Fund raising</t>
  </si>
  <si>
    <t>Argosmob Tech and AI Pvt Ltd</t>
  </si>
  <si>
    <t>Prototype</t>
  </si>
  <si>
    <t>Particulars</t>
  </si>
  <si>
    <t>Details</t>
  </si>
  <si>
    <t>IOS App</t>
  </si>
  <si>
    <t>Front end</t>
  </si>
  <si>
    <t>Total Equity Investment</t>
  </si>
  <si>
    <t>Ac repair</t>
  </si>
  <si>
    <t>Back end</t>
  </si>
  <si>
    <t>Loan Amount</t>
  </si>
  <si>
    <t>Android App+Website</t>
  </si>
  <si>
    <t>API creation</t>
  </si>
  <si>
    <t>Loan Tenure</t>
  </si>
  <si>
    <t>2 Years</t>
  </si>
  <si>
    <t>Avani Shee</t>
  </si>
  <si>
    <t>API Integration</t>
  </si>
  <si>
    <t>Loan Interest Rate</t>
  </si>
  <si>
    <t>0% (Interest Free)</t>
  </si>
  <si>
    <t>Total Number of Partners</t>
  </si>
  <si>
    <t>Delivered</t>
  </si>
  <si>
    <t>₹25,000 per Director per month</t>
  </si>
  <si>
    <t>Digital Marketing</t>
  </si>
  <si>
    <t>Not Started</t>
  </si>
  <si>
    <t>Non-Compete Clause</t>
  </si>
  <si>
    <t>Applicable to all partners</t>
  </si>
  <si>
    <t>Video Editing</t>
  </si>
  <si>
    <t>Fixed</t>
  </si>
  <si>
    <t>Graphic Designing</t>
  </si>
  <si>
    <t>Argosmob Tech and AI Pvt Ltd(Equity Distribution)</t>
  </si>
  <si>
    <t>Partner Name</t>
  </si>
  <si>
    <t>Equity Share (%)</t>
  </si>
  <si>
    <t>Tax</t>
  </si>
  <si>
    <t>Vineet Chaddha Sir &amp; Jitendra Sir (Combined)</t>
  </si>
  <si>
    <t>Maintenance</t>
  </si>
  <si>
    <t>Maintenance-Amount</t>
  </si>
  <si>
    <t>Status</t>
  </si>
  <si>
    <t>City</t>
  </si>
  <si>
    <t>Days Passed</t>
  </si>
  <si>
    <t>Duration(Days)</t>
  </si>
  <si>
    <t>Deadline</t>
  </si>
  <si>
    <t>Time left</t>
  </si>
  <si>
    <t>Next Payment Amount</t>
  </si>
  <si>
    <t>Next Payment Date</t>
  </si>
  <si>
    <t>Client server</t>
  </si>
  <si>
    <t>Self hosted n8n</t>
  </si>
  <si>
    <t>Client server-shopify</t>
  </si>
  <si>
    <t>Testing-self</t>
  </si>
  <si>
    <t>not started</t>
  </si>
  <si>
    <t>Yes</t>
  </si>
  <si>
    <t>Client Server</t>
  </si>
  <si>
    <t>Team Alignment</t>
  </si>
  <si>
    <t>Team Vansh + Krishna</t>
  </si>
  <si>
    <t>Team Chandan + Rishabh</t>
  </si>
  <si>
    <t>Backend</t>
  </si>
  <si>
    <t>Dev</t>
  </si>
  <si>
    <t>Done</t>
  </si>
  <si>
    <t>Mediconnect</t>
  </si>
  <si>
    <t>Vansh+Dev</t>
  </si>
  <si>
    <t>Bhardwaj Hospital</t>
  </si>
  <si>
    <t>Deployment</t>
  </si>
  <si>
    <t>Mob</t>
  </si>
  <si>
    <t>Pending from client</t>
  </si>
  <si>
    <t>Shubham</t>
  </si>
  <si>
    <t>Local Market</t>
  </si>
  <si>
    <t>Bla Bla</t>
  </si>
  <si>
    <t>Ishika</t>
  </si>
  <si>
    <t>Wait</t>
  </si>
  <si>
    <t>Anup</t>
  </si>
  <si>
    <t>Gamify</t>
  </si>
  <si>
    <t>School Management</t>
  </si>
  <si>
    <t>Aditya+Dev+Ishika(Admin)</t>
  </si>
  <si>
    <t>Hybrid Ride</t>
  </si>
  <si>
    <t>Team(next)</t>
  </si>
  <si>
    <t>HR/Admin</t>
  </si>
  <si>
    <t>Ravleen</t>
  </si>
  <si>
    <t>Rishabh/Krishna</t>
  </si>
  <si>
    <t>Real Estate</t>
  </si>
  <si>
    <t>SK Finance</t>
  </si>
  <si>
    <t>Digital Poster</t>
  </si>
  <si>
    <t>Ishika(Admin)+Aditya(Frontend)</t>
  </si>
  <si>
    <t>Dubey</t>
  </si>
  <si>
    <t>Agriebook</t>
  </si>
  <si>
    <t>Dev+Prashant</t>
  </si>
  <si>
    <t>Krishna/Rishabh</t>
  </si>
  <si>
    <t>Item</t>
  </si>
  <si>
    <t>Paid By</t>
  </si>
  <si>
    <t>Purchase of 2nd hand laptop</t>
  </si>
  <si>
    <t>received from dubey</t>
  </si>
  <si>
    <t>Paid for coffee for Feb 26</t>
  </si>
  <si>
    <t>Salary for Feb 2026 =&gt; Prashant</t>
  </si>
  <si>
    <t>Salary for Feb 2026 =&gt; Ishika Sharma</t>
  </si>
  <si>
    <t>Salary for Feb 2026 =&gt; Shubham Dubey</t>
  </si>
  <si>
    <t>Salary for Feb 2026 =&gt; Aditya</t>
  </si>
  <si>
    <t>Salary for Feb 2026 =&gt; Haider</t>
  </si>
  <si>
    <t>Salary for Feb 2026 =&gt; Priyanka</t>
  </si>
  <si>
    <t>Salary for Feb 2026 =&gt; Dev Kumar Sharma</t>
  </si>
  <si>
    <t>Salary for Feb 2026 =&gt; Akansha</t>
  </si>
  <si>
    <t>Salary for Feb 2026 =&gt; Avani</t>
  </si>
  <si>
    <t>Salary for Feb 2026 =&gt; Ravleen</t>
  </si>
  <si>
    <t>FNF for Anup</t>
  </si>
  <si>
    <t>Director Salary =&gt; Dr Chadha(Jan - 2026)</t>
  </si>
  <si>
    <t>Director Salary =&gt; Dr Jitendra Ji(Jan - 2026)</t>
  </si>
  <si>
    <t>Profit =&gt; Jitendra Ji sir(Feb - 2026)</t>
  </si>
  <si>
    <t>Director Salary =&gt; Jitendra Ji(Feb - 2026)</t>
  </si>
  <si>
    <t>Loan repayment for Jan 2026</t>
  </si>
  <si>
    <t>Director Salary =&gt; Chandan(Jan- 2026)</t>
  </si>
  <si>
    <t>Director Salary =&gt; Rishabh(Jan - 2026)</t>
  </si>
  <si>
    <t>Director Salary =&gt; Krishna(Jan- 2026)</t>
  </si>
  <si>
    <t>Director Salary =&gt; Vansh(Jan - 2026)</t>
  </si>
  <si>
    <t>Not started</t>
  </si>
  <si>
    <t>Paid for static IP for NGK</t>
  </si>
  <si>
    <t>Disposable items</t>
  </si>
  <si>
    <t>Rent for March 26</t>
  </si>
  <si>
    <t>Salary for Feb 2026 =&gt; Haider(pending)</t>
  </si>
  <si>
    <t>Airtel postpaid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</si>
</sst>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_(* #,##0.00_);_(* \(#,##0.00\);_(* &quot;-&quot;??_);_(@_)"/>
    <numFmt numFmtId="165" formatCode="[$₹]#,##0.00"/>
    <numFmt numFmtId="166" formatCode="d/m/yyyy"/>
    <numFmt numFmtId="167" formatCode="[$₹-820]#,##0.00"/>
    <numFmt numFmtId="168" formatCode="[$₹-4009]\ #,##0.00"/>
    <numFmt numFmtId="169" formatCode="_ [$₹-4009]\ * #,##0.00_ ;_ [$₹-4009]\ * \-#,##0.00_ ;_ [$₹-4009]\ * &quot;-&quot;??_ ;_ @_ "/>
    <numFmt numFmtId="170" formatCode="_ [$USD]\ * #,##0.00_ ;_ [$USD]\ * \-#,##0.00_ ;_ [$USD]\ * &quot;-&quot;??_ ;_ @_ "/>
    <numFmt numFmtId="171" formatCode="_-[$₹-820]* #,##0.00_-;\-[$₹-820]* #,##0.00_-;_-[$₹-820]* &quot;-&quot;??_-;_-@_-"/>
    <numFmt numFmtId="172" formatCode="[$-F800]dddd\,\ mmmm\ dd\,\ yyyy"/>
    <numFmt numFmtId="173" formatCode="_ &quot;₹&quot;\ * #,##0.0_ ;_ &quot;₹&quot;\ * \-#,##0.0_ ;_ &quot;₹&quot;\ * &quot;-&quot;?_ ;_ @_ "/>
  </numFmts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i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rgb="FF000000"/>
      <name val="Arial"/>
      <family val="2"/>
      <scheme val="minor"/>
    </font>
    <font>
      <sz val="11"/>
      <color rgb="FF242424"/>
      <name val="Aptos Narrow"/>
      <family val="2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FCE5C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rgb="FFFCE5CD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5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65" fontId="3" fillId="0" borderId="0" xfId="0" applyNumberFormat="1" applyFont="1"/>
    <xf numFmtId="14" fontId="3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right"/>
    </xf>
    <xf numFmtId="167" fontId="0" fillId="0" borderId="0" xfId="0" applyNumberFormat="1"/>
    <xf numFmtId="165" fontId="3" fillId="0" borderId="0" xfId="0" applyNumberFormat="1" applyFont="1" applyAlignment="1">
      <alignment horizontal="left"/>
    </xf>
    <xf numFmtId="16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4" fontId="0" fillId="0" borderId="0" xfId="1" applyFont="1"/>
    <xf numFmtId="14" fontId="4" fillId="0" borderId="0" xfId="0" applyNumberFormat="1" applyFont="1"/>
    <xf numFmtId="165" fontId="2" fillId="4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44" fontId="0" fillId="0" borderId="0" xfId="1" applyFont="1" applyAlignment="1">
      <alignment horizontal="right"/>
    </xf>
    <xf numFmtId="14" fontId="4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44" fontId="3" fillId="0" borderId="0" xfId="1" applyFont="1"/>
    <xf numFmtId="169" fontId="0" fillId="0" borderId="0" xfId="1" applyNumberFormat="1" applyFont="1"/>
    <xf numFmtId="164" fontId="0" fillId="0" borderId="0" xfId="0" applyNumberFormat="1"/>
    <xf numFmtId="44" fontId="0" fillId="0" borderId="0" xfId="0" applyNumberFormat="1"/>
    <xf numFmtId="2" fontId="7" fillId="6" borderId="0" xfId="0" applyNumberFormat="1" applyFont="1" applyFill="1"/>
    <xf numFmtId="14" fontId="0" fillId="0" borderId="0" xfId="0" applyNumberFormat="1" applyAlignment="1">
      <alignment horizontal="center"/>
    </xf>
    <xf numFmtId="9" fontId="0" fillId="0" borderId="0" xfId="2" applyFont="1"/>
    <xf numFmtId="4" fontId="0" fillId="0" borderId="0" xfId="0" applyNumberFormat="1"/>
    <xf numFmtId="9" fontId="0" fillId="0" borderId="0" xfId="0" applyNumberFormat="1"/>
    <xf numFmtId="0" fontId="7" fillId="0" borderId="0" xfId="0" applyFont="1"/>
    <xf numFmtId="1" fontId="0" fillId="0" borderId="0" xfId="0" applyNumberFormat="1" applyAlignment="1">
      <alignment horizontal="center"/>
    </xf>
    <xf numFmtId="2" fontId="0" fillId="0" borderId="0" xfId="0" applyNumberFormat="1"/>
    <xf numFmtId="44" fontId="7" fillId="5" borderId="0" xfId="1" applyFont="1" applyFill="1"/>
    <xf numFmtId="44" fontId="7" fillId="7" borderId="0" xfId="1" applyFont="1" applyFill="1" applyAlignment="1">
      <alignment horizontal="center" vertical="center"/>
    </xf>
    <xf numFmtId="44" fontId="7" fillId="8" borderId="6" xfId="1" applyFont="1" applyFill="1" applyBorder="1" applyAlignment="1">
      <alignment horizontal="center"/>
    </xf>
    <xf numFmtId="44" fontId="0" fillId="9" borderId="0" xfId="1" applyFont="1" applyFill="1"/>
    <xf numFmtId="0" fontId="7" fillId="3" borderId="4" xfId="0" applyFont="1" applyFill="1" applyBorder="1" applyAlignment="1">
      <alignment horizontal="center"/>
    </xf>
    <xf numFmtId="10" fontId="0" fillId="0" borderId="0" xfId="0" applyNumberFormat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165" fontId="2" fillId="10" borderId="1" xfId="0" applyNumberFormat="1" applyFont="1" applyFill="1" applyBorder="1"/>
    <xf numFmtId="44" fontId="2" fillId="10" borderId="1" xfId="1" applyFont="1" applyFill="1" applyBorder="1"/>
    <xf numFmtId="0" fontId="2" fillId="10" borderId="2" xfId="0" applyFont="1" applyFill="1" applyBorder="1" applyAlignment="1">
      <alignment horizontal="center"/>
    </xf>
    <xf numFmtId="0" fontId="2" fillId="10" borderId="2" xfId="0" applyFont="1" applyFill="1" applyBorder="1"/>
    <xf numFmtId="165" fontId="2" fillId="10" borderId="2" xfId="0" applyNumberFormat="1" applyFont="1" applyFill="1" applyBorder="1"/>
    <xf numFmtId="44" fontId="2" fillId="10" borderId="2" xfId="1" applyFont="1" applyFill="1" applyBorder="1"/>
    <xf numFmtId="0" fontId="8" fillId="8" borderId="0" xfId="0" applyFont="1" applyFill="1"/>
    <xf numFmtId="0" fontId="2" fillId="8" borderId="1" xfId="0" applyFont="1" applyFill="1" applyBorder="1"/>
    <xf numFmtId="44" fontId="2" fillId="8" borderId="1" xfId="1" applyFont="1" applyFill="1" applyBorder="1"/>
    <xf numFmtId="165" fontId="2" fillId="8" borderId="1" xfId="0" applyNumberFormat="1" applyFont="1" applyFill="1" applyBorder="1"/>
    <xf numFmtId="0" fontId="6" fillId="0" borderId="0" xfId="0" applyFont="1"/>
    <xf numFmtId="167" fontId="6" fillId="0" borderId="0" xfId="0" applyNumberFormat="1" applyFont="1"/>
    <xf numFmtId="0" fontId="6" fillId="0" borderId="0" xfId="0" applyFont="1" applyAlignment="1">
      <alignment horizontal="left"/>
    </xf>
    <xf numFmtId="0" fontId="2" fillId="10" borderId="2" xfId="0" applyFont="1" applyFill="1" applyBorder="1" applyAlignment="1">
      <alignment horizontal="left"/>
    </xf>
    <xf numFmtId="0" fontId="0" fillId="0" borderId="0" xfId="0" pivotButton="1"/>
    <xf numFmtId="44" fontId="0" fillId="0" borderId="7" xfId="1" applyFont="1" applyBorder="1"/>
    <xf numFmtId="0" fontId="3" fillId="0" borderId="0" xfId="0" applyFont="1" applyAlignment="1">
      <alignment horizontal="left"/>
    </xf>
    <xf numFmtId="165" fontId="2" fillId="10" borderId="2" xfId="0" applyNumberFormat="1" applyFont="1" applyFill="1" applyBorder="1" applyAlignment="1">
      <alignment horizontal="left"/>
    </xf>
    <xf numFmtId="165" fontId="2" fillId="10" borderId="2" xfId="0" applyNumberFormat="1" applyFont="1" applyFill="1" applyBorder="1" applyAlignment="1">
      <alignment horizontal="center"/>
    </xf>
    <xf numFmtId="165" fontId="2" fillId="10" borderId="0" xfId="0" applyNumberFormat="1" applyFont="1" applyFill="1"/>
    <xf numFmtId="44" fontId="0" fillId="11" borderId="0" xfId="1" applyFont="1" applyFill="1"/>
    <xf numFmtId="165" fontId="9" fillId="0" borderId="0" xfId="0" applyNumberFormat="1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168" fontId="6" fillId="0" borderId="0" xfId="0" applyNumberFormat="1" applyFont="1"/>
    <xf numFmtId="44" fontId="6" fillId="0" borderId="0" xfId="1" applyFont="1"/>
    <xf numFmtId="44" fontId="4" fillId="0" borderId="0" xfId="1" applyFont="1"/>
    <xf numFmtId="167" fontId="4" fillId="0" borderId="0" xfId="0" applyNumberFormat="1" applyFont="1"/>
    <xf numFmtId="165" fontId="5" fillId="2" borderId="0" xfId="0" applyNumberFormat="1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0" fontId="4" fillId="0" borderId="5" xfId="2" applyNumberFormat="1" applyFont="1" applyBorder="1" applyAlignment="1">
      <alignment horizontal="right"/>
    </xf>
    <xf numFmtId="0" fontId="0" fillId="0" borderId="5" xfId="0" applyBorder="1"/>
    <xf numFmtId="167" fontId="0" fillId="0" borderId="5" xfId="0" applyNumberFormat="1" applyBorder="1"/>
    <xf numFmtId="0" fontId="2" fillId="10" borderId="4" xfId="0" applyFont="1" applyFill="1" applyBorder="1" applyAlignment="1">
      <alignment horizontal="center"/>
    </xf>
    <xf numFmtId="0" fontId="2" fillId="10" borderId="4" xfId="0" applyFont="1" applyFill="1" applyBorder="1"/>
    <xf numFmtId="165" fontId="2" fillId="10" borderId="4" xfId="0" applyNumberFormat="1" applyFont="1" applyFill="1" applyBorder="1"/>
    <xf numFmtId="170" fontId="3" fillId="0" borderId="0" xfId="1" applyNumberFormat="1" applyFont="1"/>
    <xf numFmtId="2" fontId="11" fillId="11" borderId="4" xfId="0" applyNumberFormat="1" applyFont="1" applyFill="1" applyBorder="1" applyAlignment="1">
      <alignment horizontal="center"/>
    </xf>
    <xf numFmtId="171" fontId="0" fillId="0" borderId="0" xfId="0" applyNumberFormat="1"/>
    <xf numFmtId="165" fontId="4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2" fontId="6" fillId="0" borderId="0" xfId="0" applyNumberFormat="1" applyFont="1"/>
    <xf numFmtId="14" fontId="12" fillId="0" borderId="0" xfId="0" applyNumberFormat="1" applyFont="1"/>
    <xf numFmtId="44" fontId="7" fillId="0" borderId="0" xfId="1" applyFont="1"/>
    <xf numFmtId="171" fontId="7" fillId="0" borderId="0" xfId="0" applyNumberFormat="1" applyFont="1"/>
    <xf numFmtId="167" fontId="11" fillId="11" borderId="6" xfId="0" applyNumberFormat="1" applyFont="1" applyFill="1" applyBorder="1"/>
    <xf numFmtId="44" fontId="7" fillId="13" borderId="0" xfId="1" applyFont="1" applyFill="1"/>
    <xf numFmtId="165" fontId="2" fillId="10" borderId="1" xfId="0" applyNumberFormat="1" applyFont="1" applyFill="1" applyBorder="1" applyAlignment="1">
      <alignment horizontal="center"/>
    </xf>
    <xf numFmtId="165" fontId="2" fillId="10" borderId="3" xfId="0" applyNumberFormat="1" applyFont="1" applyFill="1" applyBorder="1"/>
    <xf numFmtId="165" fontId="2" fillId="10" borderId="8" xfId="0" applyNumberFormat="1" applyFont="1" applyFill="1" applyBorder="1"/>
    <xf numFmtId="44" fontId="2" fillId="10" borderId="3" xfId="1" applyFont="1" applyFill="1" applyBorder="1"/>
    <xf numFmtId="44" fontId="6" fillId="0" borderId="0" xfId="1" applyFont="1" applyAlignment="1">
      <alignment horizontal="right"/>
    </xf>
    <xf numFmtId="172" fontId="6" fillId="0" borderId="0" xfId="1" applyNumberFormat="1" applyFont="1"/>
    <xf numFmtId="172" fontId="0" fillId="0" borderId="0" xfId="0" applyNumberFormat="1"/>
    <xf numFmtId="4" fontId="4" fillId="0" borderId="0" xfId="0" applyNumberFormat="1" applyFont="1" applyAlignment="1">
      <alignment horizontal="right"/>
    </xf>
    <xf numFmtId="44" fontId="9" fillId="0" borderId="0" xfId="1" applyFont="1"/>
    <xf numFmtId="173" fontId="0" fillId="0" borderId="0" xfId="0" applyNumberFormat="1"/>
    <xf numFmtId="44" fontId="7" fillId="9" borderId="0" xfId="1" applyFont="1" applyFill="1"/>
    <xf numFmtId="165" fontId="0" fillId="0" borderId="0" xfId="0" applyNumberFormat="1"/>
    <xf numFmtId="0" fontId="14" fillId="16" borderId="4" xfId="0" applyFont="1" applyFill="1" applyBorder="1"/>
    <xf numFmtId="6" fontId="0" fillId="0" borderId="0" xfId="0" applyNumberFormat="1"/>
    <xf numFmtId="0" fontId="14" fillId="14" borderId="0" xfId="0" applyFont="1" applyFill="1"/>
    <xf numFmtId="9" fontId="0" fillId="0" borderId="6" xfId="0" applyNumberFormat="1" applyBorder="1"/>
    <xf numFmtId="0" fontId="0" fillId="0" borderId="1" xfId="0" applyBorder="1"/>
    <xf numFmtId="44" fontId="2" fillId="10" borderId="1" xfId="1" applyFont="1" applyFill="1" applyBorder="1" applyAlignment="1">
      <alignment horizontal="center"/>
    </xf>
    <xf numFmtId="44" fontId="6" fillId="0" borderId="0" xfId="1" applyFont="1" applyAlignment="1">
      <alignment horizontal="center"/>
    </xf>
    <xf numFmtId="44" fontId="3" fillId="0" borderId="0" xfId="1" applyFont="1" applyAlignment="1">
      <alignment horizontal="center"/>
    </xf>
    <xf numFmtId="44" fontId="0" fillId="0" borderId="0" xfId="1" applyFont="1" applyFill="1"/>
    <xf numFmtId="44" fontId="0" fillId="0" borderId="0" xfId="0" applyNumberFormat="1" applyAlignment="1">
      <alignment horizontal="center"/>
    </xf>
    <xf numFmtId="44" fontId="2" fillId="18" borderId="15" xfId="1" applyFont="1" applyFill="1" applyBorder="1"/>
    <xf numFmtId="44" fontId="0" fillId="0" borderId="0" xfId="1" applyFont="1" applyBorder="1"/>
    <xf numFmtId="44" fontId="2" fillId="18" borderId="16" xfId="1" applyFont="1" applyFill="1" applyBorder="1"/>
    <xf numFmtId="44" fontId="2" fillId="10" borderId="17" xfId="1" applyFont="1" applyFill="1" applyBorder="1"/>
    <xf numFmtId="44" fontId="0" fillId="0" borderId="5" xfId="1" applyFont="1" applyBorder="1"/>
    <xf numFmtId="44" fontId="6" fillId="0" borderId="5" xfId="1" applyFont="1" applyBorder="1"/>
    <xf numFmtId="44" fontId="0" fillId="0" borderId="5" xfId="0" applyNumberFormat="1" applyBorder="1"/>
    <xf numFmtId="0" fontId="7" fillId="17" borderId="4" xfId="0" applyFont="1" applyFill="1" applyBorder="1" applyAlignment="1">
      <alignment horizontal="center"/>
    </xf>
    <xf numFmtId="0" fontId="7" fillId="17" borderId="4" xfId="0" applyFont="1" applyFill="1" applyBorder="1"/>
    <xf numFmtId="0" fontId="7" fillId="0" borderId="1" xfId="0" applyFont="1" applyBorder="1"/>
    <xf numFmtId="0" fontId="0" fillId="0" borderId="0" xfId="1" applyNumberFormat="1" applyFont="1"/>
    <xf numFmtId="0" fontId="7" fillId="14" borderId="4" xfId="0" applyFont="1" applyFill="1" applyBorder="1"/>
    <xf numFmtId="44" fontId="7" fillId="14" borderId="4" xfId="1" applyFont="1" applyFill="1" applyBorder="1"/>
    <xf numFmtId="0" fontId="7" fillId="14" borderId="4" xfId="0" applyFont="1" applyFill="1" applyBorder="1" applyAlignment="1">
      <alignment horizontal="center"/>
    </xf>
    <xf numFmtId="0" fontId="7" fillId="14" borderId="18" xfId="0" applyFont="1" applyFill="1" applyBorder="1"/>
    <xf numFmtId="14" fontId="6" fillId="0" borderId="0" xfId="0" applyNumberFormat="1" applyFont="1" applyAlignment="1">
      <alignment horizontal="left"/>
    </xf>
    <xf numFmtId="44" fontId="6" fillId="0" borderId="0" xfId="1" applyFont="1" applyBorder="1"/>
    <xf numFmtId="167" fontId="7" fillId="0" borderId="0" xfId="0" applyNumberFormat="1" applyFont="1"/>
    <xf numFmtId="0" fontId="7" fillId="8" borderId="0" xfId="0" applyFont="1" applyFill="1"/>
    <xf numFmtId="0" fontId="9" fillId="8" borderId="0" xfId="0" applyFont="1" applyFill="1"/>
    <xf numFmtId="171" fontId="6" fillId="0" borderId="0" xfId="0" applyNumberFormat="1" applyFont="1"/>
    <xf numFmtId="0" fontId="8" fillId="14" borderId="4" xfId="0" applyFont="1" applyFill="1" applyBorder="1" applyAlignment="1">
      <alignment horizontal="center"/>
    </xf>
    <xf numFmtId="44" fontId="8" fillId="14" borderId="4" xfId="1" applyFont="1" applyFill="1" applyBorder="1"/>
    <xf numFmtId="0" fontId="8" fillId="14" borderId="4" xfId="0" applyFont="1" applyFill="1" applyBorder="1"/>
    <xf numFmtId="17" fontId="7" fillId="14" borderId="4" xfId="0" applyNumberFormat="1" applyFont="1" applyFill="1" applyBorder="1" applyAlignment="1">
      <alignment horizontal="center"/>
    </xf>
    <xf numFmtId="44" fontId="7" fillId="14" borderId="6" xfId="0" applyNumberFormat="1" applyFont="1" applyFill="1" applyBorder="1"/>
    <xf numFmtId="44" fontId="7" fillId="20" borderId="0" xfId="1" applyFont="1" applyFill="1"/>
    <xf numFmtId="44" fontId="7" fillId="20" borderId="0" xfId="1" applyFont="1" applyFill="1" applyAlignment="1">
      <alignment horizontal="right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8" fillId="12" borderId="6" xfId="0" applyFont="1" applyFill="1" applyBorder="1" applyAlignment="1">
      <alignment horizontal="center"/>
    </xf>
    <xf numFmtId="0" fontId="16" fillId="19" borderId="0" xfId="0" applyFont="1" applyFill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15" fillId="15" borderId="9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</cellXfs>
  <cellStyles count="5">
    <cellStyle name="Currency" xfId="1" builtinId="4"/>
    <cellStyle name="Currency 2" xfId="4" xr:uid="{33341884-4D7F-4DF8-9960-4855F4985B09}"/>
    <cellStyle name="Normal" xfId="0" builtinId="0"/>
    <cellStyle name="Normal 2" xfId="3" xr:uid="{667FF750-7B46-4EE6-9B35-D725A1EBAF86}"/>
    <cellStyle name="Percent" xfId="2" builtinId="5"/>
  </cellStyles>
  <dxfs count="86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₹]#,##0.00"/>
      <fill>
        <patternFill patternType="solid">
          <fgColor rgb="FFFCE5CD"/>
          <bgColor theme="7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₹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4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₹]#,##0.00"/>
      <fill>
        <patternFill patternType="solid">
          <fgColor rgb="FFFCE5CD"/>
          <bgColor theme="7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  <family val="2"/>
      </font>
    </dxf>
    <dxf>
      <alignment horizontal="center" vertical="bottom" textRotation="0" wrapText="0" indent="0" justifyLastLine="0" shrinkToFit="0" readingOrder="0"/>
    </dxf>
    <dxf>
      <numFmt numFmtId="168" formatCode="[$₹-400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₹]#,##0.00"/>
      <fill>
        <patternFill patternType="solid">
          <fgColor rgb="FFFCE5CD"/>
          <bgColor theme="7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FCE5CD"/>
          <bgColor theme="7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PL!$J$1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PL!$B$2:$B$17</c:f>
              <c:numCache>
                <c:formatCode>d/m/yyyy</c:formatCode>
                <c:ptCount val="16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  <c:pt idx="13">
                  <c:v>46296</c:v>
                </c:pt>
                <c:pt idx="14">
                  <c:v>46327</c:v>
                </c:pt>
                <c:pt idx="15">
                  <c:v>46357</c:v>
                </c:pt>
              </c:numCache>
            </c:numRef>
          </c:cat>
          <c:val>
            <c:numRef>
              <c:f>PL!$J$2:$J$17</c:f>
              <c:numCache>
                <c:formatCode>[$₹]#,##0.00</c:formatCode>
                <c:ptCount val="16"/>
                <c:pt idx="0">
                  <c:v>-11060.630000000005</c:v>
                </c:pt>
                <c:pt idx="1">
                  <c:v>59818.979999999981</c:v>
                </c:pt>
                <c:pt idx="2">
                  <c:v>251643.38999999996</c:v>
                </c:pt>
                <c:pt idx="3">
                  <c:v>204519.1608333335</c:v>
                </c:pt>
                <c:pt idx="4">
                  <c:v>-41961.510000000068</c:v>
                </c:pt>
                <c:pt idx="5">
                  <c:v>184549.78999999975</c:v>
                </c:pt>
                <c:pt idx="6">
                  <c:v>-315064.18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8-4FD7-B6DC-284EF6BE8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807495"/>
        <c:axId val="135809543"/>
      </c:barChart>
      <c:dateAx>
        <c:axId val="135807495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9543"/>
        <c:crosses val="autoZero"/>
        <c:auto val="1"/>
        <c:lblOffset val="100"/>
        <c:baseTimeUnit val="months"/>
      </c:dateAx>
      <c:valAx>
        <c:axId val="13580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7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21</xdr:col>
      <xdr:colOff>819150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8BAF3B-42BC-C49B-2ABD-4650A2193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 Mallik" refreshedDate="46063.567974537036" createdVersion="8" refreshedVersion="8" minRefreshableVersion="3" recordCount="64" xr:uid="{CC855631-024B-45C9-AA1F-D67DB6D0076B}">
  <cacheSource type="worksheet">
    <worksheetSource name="Table3"/>
  </cacheSource>
  <cacheFields count="14">
    <cacheField name="Sno" numFmtId="0">
      <sharedItems containsSemiMixedTypes="0" containsString="0" containsNumber="1" containsInteger="1" minValue="1" maxValue="64"/>
    </cacheField>
    <cacheField name="Day" numFmtId="0">
      <sharedItems/>
    </cacheField>
    <cacheField name="Date" numFmtId="14">
      <sharedItems containsSemiMixedTypes="0" containsNonDate="0" containsDate="1" containsString="0" minDate="2025-09-08T00:00:00" maxDate="2026-02-08T00:00:00"/>
    </cacheField>
    <cacheField name="Type of Sale" numFmtId="14">
      <sharedItems containsBlank="1"/>
    </cacheField>
    <cacheField name="Project Type" numFmtId="0">
      <sharedItems/>
    </cacheField>
    <cacheField name="Resource" numFmtId="0">
      <sharedItems containsBlank="1" count="5">
        <s v="N/A"/>
        <s v="Prachi Lohani"/>
        <s v="Parul Sandilya"/>
        <s v="Haider"/>
        <m u="1"/>
      </sharedItems>
    </cacheField>
    <cacheField name="Project Name" numFmtId="0">
      <sharedItems/>
    </cacheField>
    <cacheField name="Client Name" numFmtId="0">
      <sharedItems/>
    </cacheField>
    <cacheField name="Country" numFmtId="0">
      <sharedItems/>
    </cacheField>
    <cacheField name="State" numFmtId="0">
      <sharedItems containsBlank="1"/>
    </cacheField>
    <cacheField name="Sale" numFmtId="168">
      <sharedItems containsSemiMixedTypes="0" containsString="0" containsNumber="1" minValue="1" maxValue="140000"/>
    </cacheField>
    <cacheField name="Currency" numFmtId="0">
      <sharedItems containsSemiMixedTypes="0" containsString="0" containsNumber="1" containsInteger="1" minValue="1" maxValue="1"/>
    </cacheField>
    <cacheField name="Income Receiver" numFmtId="0">
      <sharedItems/>
    </cacheField>
    <cacheField name="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 Mallik" refreshedDate="46077.379475694448" createdVersion="8" refreshedVersion="8" minRefreshableVersion="3" recordCount="42" xr:uid="{A9ACC04B-F1F6-4C0B-8CA2-5B3A6A42125C}">
  <cacheSource type="worksheet">
    <worksheetSource name="Table1"/>
  </cacheSource>
  <cacheFields count="18">
    <cacheField name="Sno" numFmtId="0">
      <sharedItems containsString="0" containsBlank="1" containsNumber="1" containsInteger="1" minValue="1" maxValue="36"/>
    </cacheField>
    <cacheField name="Day" numFmtId="0">
      <sharedItems containsBlank="1"/>
    </cacheField>
    <cacheField name="Sale Date" numFmtId="0">
      <sharedItems containsNonDate="0" containsDate="1" containsString="0" containsBlank="1" minDate="2025-09-08T00:00:00" maxDate="2026-02-24T00:00:00" count="35">
        <d v="2025-09-08T00:00:00"/>
        <d v="2025-09-16T00:00:00"/>
        <d v="2025-09-21T00:00:00"/>
        <d v="2025-09-26T00:00:00"/>
        <d v="2025-09-29T00:00:00"/>
        <d v="2025-10-01T00:00:00"/>
        <d v="2025-10-10T00:00:00"/>
        <d v="2025-10-14T00:00:00"/>
        <d v="2025-10-16T00:00:00"/>
        <d v="2025-10-17T00:00:00"/>
        <d v="2025-10-29T00:00:00"/>
        <d v="2025-11-03T00:00:00"/>
        <d v="2025-11-05T00:00:00"/>
        <d v="2025-11-12T00:00:00"/>
        <d v="2025-11-14T00:00:00"/>
        <d v="2025-11-15T00:00:00"/>
        <d v="2025-11-20T00:00:00"/>
        <d v="2025-11-21T00:00:00"/>
        <d v="2025-11-25T00:00:00"/>
        <d v="2025-11-27T00:00:00"/>
        <d v="2025-11-29T00:00:00"/>
        <d v="2025-12-01T00:00:00"/>
        <d v="2025-12-02T00:00:00"/>
        <d v="2025-12-05T00:00:00"/>
        <d v="2025-12-11T00:00:00"/>
        <d v="2025-12-15T00:00:00"/>
        <d v="2025-12-26T00:00:00"/>
        <d v="2025-12-29T00:00:00"/>
        <d v="2026-01-12T00:00:00"/>
        <d v="2026-01-15T00:00:00"/>
        <d v="2026-02-02T00:00:00"/>
        <d v="2026-02-04T00:00:00"/>
        <d v="2026-02-05T00:00:00"/>
        <d v="2026-02-23T00:00:00"/>
        <m/>
      </sharedItems>
      <fieldGroup par="17"/>
    </cacheField>
    <cacheField name="Project Type" numFmtId="0">
      <sharedItems containsBlank="1"/>
    </cacheField>
    <cacheField name="Resource" numFmtId="0">
      <sharedItems containsBlank="1"/>
    </cacheField>
    <cacheField name="Currency" numFmtId="0">
      <sharedItems containsBlank="1"/>
    </cacheField>
    <cacheField name="Project Manager" numFmtId="0">
      <sharedItems containsBlank="1"/>
    </cacheField>
    <cacheField name="Project Name" numFmtId="0">
      <sharedItems containsBlank="1" count="39">
        <s v="Employee India"/>
        <s v="Makroo"/>
        <s v="AI"/>
        <s v="Brandloomi"/>
        <s v="Healthy Manushya"/>
        <s v="Indgrocart"/>
        <s v="MediConnect"/>
        <s v="Fornix"/>
        <s v="Stenna"/>
        <s v="Bla-Bla"/>
        <s v="Bhardwaj hospital "/>
        <s v="Eco Volt Solar"/>
        <s v="Soya Products-Ecom"/>
        <s v="Beingpetz"/>
        <s v="Degree India"/>
        <s v="Enlightify"/>
        <s v="Easy Rasta"/>
        <s v="FitLeap"/>
        <s v="SK Car Finance"/>
        <s v="NGK"/>
        <s v="Local Market Online"/>
        <s v="School Management App"/>
        <s v="Real estate Data Management "/>
        <s v="Agriebookhub"/>
        <s v="Digital Poster App"/>
        <s v="Engineered Hybrid Ride-Sharing Platform"/>
        <s v="OTT App"/>
        <s v="GamifyIAS"/>
        <s v="Taxi App"/>
        <s v="Urban Elite"/>
        <s v="Fornix-website"/>
        <s v="AI LMS Portal"/>
        <s v="Local Market Online-AI work"/>
        <s v="Stenna-website"/>
        <s v="Farm produce selling app"/>
        <m/>
        <s v="Fronix" u="1"/>
        <s v="Fronix-website" u="1"/>
        <s v="India Drive App" u="1"/>
      </sharedItems>
    </cacheField>
    <cacheField name="Client Name" numFmtId="0">
      <sharedItems containsBlank="1"/>
    </cacheField>
    <cacheField name="Country" numFmtId="0">
      <sharedItems containsBlank="1"/>
    </cacheField>
    <cacheField name="Contract Value" numFmtId="0">
      <sharedItems containsString="0" containsBlank="1" containsNumber="1" containsInteger="1" minValue="2500" maxValue="600000"/>
    </cacheField>
    <cacheField name="Exchange" numFmtId="44">
      <sharedItems containsString="0" containsBlank="1" containsNumber="1" containsInteger="1" minValue="1" maxValue="90"/>
    </cacheField>
    <cacheField name="Contract Value(INR)" numFmtId="44">
      <sharedItems containsSemiMixedTypes="0" containsString="0" containsNumber="1" containsInteger="1" minValue="0" maxValue="600000"/>
    </cacheField>
    <cacheField name="Received(INR)" numFmtId="44">
      <sharedItems containsSemiMixedTypes="0" containsString="0" containsNumber="1" minValue="0" maxValue="520001"/>
    </cacheField>
    <cacheField name="Balance(INR)" numFmtId="44">
      <sharedItems containsSemiMixedTypes="0" containsString="0" containsNumber="1" minValue="0" maxValue="300000"/>
    </cacheField>
    <cacheField name="Column1" numFmtId="165">
      <sharedItems containsNonDate="0" containsString="0" containsBlank="1"/>
    </cacheField>
    <cacheField name="Days (Sale Date)" numFmtId="0" databaseField="0">
      <fieldGroup base="2">
        <rangePr groupBy="days" startDate="2025-09-08T00:00:00" endDate="2026-02-24T00:00:00"/>
        <groupItems count="368">
          <s v="&lt;08-09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02-2026"/>
        </groupItems>
      </fieldGroup>
    </cacheField>
    <cacheField name="Months (Sale Date)" numFmtId="0" databaseField="0">
      <fieldGroup base="2">
        <rangePr groupBy="months" startDate="2025-09-08T00:00:00" endDate="2026-02-24T00:00:00"/>
        <groupItems count="14">
          <s v="&lt;08-09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 Mallik" refreshedDate="46091.446108217591" createdVersion="8" refreshedVersion="8" minRefreshableVersion="3" recordCount="558" xr:uid="{1882BAC5-EF69-4BE4-9860-284E2A3611E1}">
  <cacheSource type="worksheet">
    <worksheetSource name="Table2"/>
  </cacheSource>
  <cacheFields count="9">
    <cacheField name="Sno" numFmtId="0">
      <sharedItems containsSemiMixedTypes="0" containsString="0" containsNumber="1" containsInteger="1" minValue="1" maxValue="557"/>
    </cacheField>
    <cacheField name="Day" numFmtId="14">
      <sharedItems containsSemiMixedTypes="0" containsNonDate="0" containsDate="1" containsString="0" minDate="2025-09-01T00:00:00" maxDate="2026-03-11T00:00:00"/>
    </cacheField>
    <cacheField name="Date" numFmtId="14">
      <sharedItems/>
    </cacheField>
    <cacheField name="Category" numFmtId="0">
      <sharedItems containsBlank="1" count="28">
        <s v="Marketing"/>
        <s v="Office expense"/>
        <s v="Food"/>
        <s v="Electricity Recharge"/>
        <s v="Dialer recharge"/>
        <s v="Salary"/>
        <s v="Bank Expenses"/>
        <s v="Fixed Expense"/>
        <s v="Self Funding"/>
        <s v="Fun"/>
        <s v="Operating Expenses"/>
        <s v="Self Withdrawl"/>
        <s v="Outsouce"/>
        <s v="Client Expenses"/>
        <s v="Company Expense"/>
        <s v="Cross Funding"/>
        <s v="Commisions"/>
        <m/>
        <s v="Misc"/>
        <s v="Equity"/>
        <s v="Loan"/>
        <s v="Tax" u="1"/>
        <s v="Ac repair" u="1"/>
        <s v="One time" u="1"/>
        <s v="Onetime" u="1"/>
        <s v="Office expenses" u="1"/>
        <s v="Office expenes" u="1"/>
        <s v="Fixed" u="1"/>
      </sharedItems>
    </cacheField>
    <cacheField name="Sub-Category" numFmtId="0">
      <sharedItems containsBlank="1"/>
    </cacheField>
    <cacheField name="Line Item" numFmtId="0">
      <sharedItems containsBlank="1"/>
    </cacheField>
    <cacheField name="Amount" numFmtId="44">
      <sharedItems containsSemiMixedTypes="0" containsString="0" containsNumber="1" minValue="-233333.33333333299" maxValue="233333.33333333331"/>
    </cacheField>
    <cacheField name="Paid by" numFmtId="0">
      <sharedItems containsBlank="1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1"/>
    <s v="Monday"/>
    <d v="2025-09-08T00:00:00"/>
    <s v="New Acquisition"/>
    <s v="Android+IOS App"/>
    <x v="0"/>
    <s v="Employee India"/>
    <s v="Taufeeq"/>
    <s v="India"/>
    <s v="Uttar Pradesh"/>
    <n v="25000"/>
    <n v="1"/>
    <s v="Chandan"/>
    <s v="Axis Bank UPI"/>
  </r>
  <r>
    <n v="2"/>
    <s v="Tuesday"/>
    <d v="2025-09-16T00:00:00"/>
    <s v="New Acquisition"/>
    <s v="Android App"/>
    <x v="1"/>
    <s v="Makroo"/>
    <s v="Umar"/>
    <s v="India"/>
    <s v="Jammu"/>
    <n v="30000"/>
    <n v="1"/>
    <s v="Account-ArgosMob"/>
    <s v="PhonePe"/>
  </r>
  <r>
    <n v="3"/>
    <s v="Sunday"/>
    <d v="2025-09-21T00:00:00"/>
    <s v="New Acquisition"/>
    <s v="AI"/>
    <x v="2"/>
    <s v="AI"/>
    <s v="Sushil"/>
    <s v="India"/>
    <s v="Uttar Pradesh"/>
    <n v="20000"/>
    <n v="1"/>
    <s v="Chandan"/>
    <s v="Axis Bank UPI"/>
  </r>
  <r>
    <n v="4"/>
    <s v="Friday"/>
    <d v="2025-09-26T00:00:00"/>
    <s v="New Acquisition"/>
    <s v="Website"/>
    <x v="0"/>
    <s v="Healthy Manushya"/>
    <s v="Arun Sharma"/>
    <s v="India"/>
    <s v="Punjab"/>
    <n v="10000"/>
    <n v="1"/>
    <s v="Account-ArgosMob"/>
    <s v="Net Banking"/>
  </r>
  <r>
    <n v="5"/>
    <s v="Wednesday"/>
    <d v="2025-10-01T00:00:00"/>
    <s v="New Acquisition"/>
    <s v="Android+IOS App+Website"/>
    <x v="1"/>
    <s v="MediConnect"/>
    <s v="Brij"/>
    <s v="India"/>
    <s v="Haryana"/>
    <n v="99000"/>
    <n v="1"/>
    <s v="Account-ArgosMob"/>
    <s v="UPI"/>
  </r>
  <r>
    <n v="6"/>
    <s v="Thursday"/>
    <d v="2025-10-02T00:00:00"/>
    <s v="New Acquisition"/>
    <s v="Android+IOS App+Website"/>
    <x v="1"/>
    <s v="MediConnect"/>
    <s v="Brij"/>
    <s v="India"/>
    <s v="Haryana"/>
    <n v="81000"/>
    <n v="1"/>
    <s v="Account-ArgosMob"/>
    <s v="UPI"/>
  </r>
  <r>
    <n v="7"/>
    <s v="Friday"/>
    <d v="2025-10-03T00:00:00"/>
    <s v="Old Acquisition"/>
    <s v="Android App"/>
    <x v="1"/>
    <s v="Makroo"/>
    <s v="Umar"/>
    <s v="India"/>
    <s v="Jammu"/>
    <n v="30000"/>
    <n v="1"/>
    <s v="Account-ArgosMob"/>
    <s v="PhonePe"/>
  </r>
  <r>
    <n v="8"/>
    <s v="Friday"/>
    <d v="2025-10-10T00:00:00"/>
    <s v="New Acquisition"/>
    <s v="Android+IOS App"/>
    <x v="1"/>
    <s v="Fornix"/>
    <s v="Venket"/>
    <s v="India"/>
    <s v="Karnataka"/>
    <n v="40000"/>
    <n v="1"/>
    <s v="Account-ArgosMob"/>
    <s v="UPI"/>
  </r>
  <r>
    <n v="9"/>
    <s v="Monday"/>
    <d v="2025-10-13T00:00:00"/>
    <s v="Old Acquisition"/>
    <s v="Android+IOS App"/>
    <x v="0"/>
    <s v="Employee India"/>
    <s v="Taufeeq"/>
    <s v="India"/>
    <s v="Uttar Pradesh"/>
    <n v="25000"/>
    <n v="1"/>
    <s v="Cash"/>
    <s v="Cash"/>
  </r>
  <r>
    <n v="10"/>
    <s v="Tuesday"/>
    <d v="2025-10-14T00:00:00"/>
    <s v="New Acquisition"/>
    <s v="AI"/>
    <x v="0"/>
    <s v="Stenna"/>
    <s v="Madhur Goel"/>
    <s v="India"/>
    <s v="Delhi"/>
    <n v="20000"/>
    <n v="1"/>
    <s v="Account-ArgosMob"/>
    <s v="Net Banking"/>
  </r>
  <r>
    <n v="11"/>
    <s v="Thursday"/>
    <d v="2025-10-16T00:00:00"/>
    <s v="New Acquisition"/>
    <s v="Android+IOS App"/>
    <x v="2"/>
    <s v="Bla-Bla"/>
    <s v="Prem Reddy"/>
    <s v="India"/>
    <s v="Karnataka"/>
    <n v="15000"/>
    <n v="1"/>
    <s v="Account-ArgosMob"/>
    <s v="UPI"/>
  </r>
  <r>
    <n v="12"/>
    <s v="Friday"/>
    <d v="2025-10-17T00:00:00"/>
    <s v="New Acquisition"/>
    <s v="Android+IOS App"/>
    <x v="2"/>
    <s v="Bhardwaj hospital "/>
    <s v="Dr Arun"/>
    <s v="India"/>
    <s v="Uttar Pradesh"/>
    <n v="22500"/>
    <n v="1"/>
    <s v="Account-ArgosMob"/>
    <s v="UPI"/>
  </r>
  <r>
    <n v="13"/>
    <s v="Friday"/>
    <d v="2025-10-17T00:00:00"/>
    <s v="New Acquisition"/>
    <s v="Android+IOS App"/>
    <x v="2"/>
    <s v="Eco Volt Solar"/>
    <s v="Kuldeep"/>
    <s v="India"/>
    <s v="Uttar Pradesh"/>
    <n v="40000"/>
    <n v="1"/>
    <s v="Account-ArgosMob"/>
    <s v="Net Banking"/>
  </r>
  <r>
    <n v="14"/>
    <s v="Friday"/>
    <d v="2025-10-24T00:00:00"/>
    <s v="Old Acquisition"/>
    <s v="AI"/>
    <x v="2"/>
    <s v="AI"/>
    <s v="Sushil"/>
    <s v="India"/>
    <s v="Uttar Pradesh"/>
    <n v="20000"/>
    <n v="1"/>
    <s v="Chandan"/>
    <s v="Axis Bank UPI"/>
  </r>
  <r>
    <n v="15"/>
    <s v="Wednesday"/>
    <d v="2025-10-29T00:00:00"/>
    <s v="New Acquisition"/>
    <s v="Website"/>
    <x v="0"/>
    <s v="Makroo"/>
    <s v="Umar"/>
    <s v="India"/>
    <s v="Jammu"/>
    <n v="5000"/>
    <n v="1"/>
    <s v="Account-ArgosMob"/>
    <s v="PhonePe"/>
  </r>
  <r>
    <n v="16"/>
    <s v="Monday"/>
    <d v="2025-11-03T00:00:00"/>
    <s v="New Acquisition"/>
    <s v="Android+IOS App"/>
    <x v="2"/>
    <s v="Soya Products-Ecom"/>
    <s v="M M Mishra"/>
    <s v="India"/>
    <s v="Uttar Pradesh"/>
    <n v="11000"/>
    <n v="1"/>
    <s v="Account-ArgosMob"/>
    <s v="Net Banking"/>
  </r>
  <r>
    <n v="17"/>
    <s v="Friday"/>
    <d v="2025-11-07T00:00:00"/>
    <s v="Old Acquisition"/>
    <s v="Android+IOS App+Website"/>
    <x v="1"/>
    <s v="MediConnect"/>
    <s v="Brij"/>
    <s v="India"/>
    <s v="Haryana"/>
    <n v="1"/>
    <n v="1"/>
    <s v="Account-ArgosMob"/>
    <s v="UPI"/>
  </r>
  <r>
    <n v="18"/>
    <s v="Friday"/>
    <d v="2025-11-07T00:00:00"/>
    <s v="Old Acquisition"/>
    <s v="Android+IOS App+Website"/>
    <x v="1"/>
    <s v="MediConnect"/>
    <s v="Brij"/>
    <s v="India"/>
    <s v="Haryana"/>
    <n v="95000"/>
    <n v="1"/>
    <s v="Account-ArgosMob"/>
    <s v="UPI"/>
  </r>
  <r>
    <n v="19"/>
    <s v="Monday"/>
    <d v="2025-11-10T00:00:00"/>
    <s v="Old Acquisition"/>
    <s v="Android+IOS App"/>
    <x v="2"/>
    <s v="Bla-Bla"/>
    <s v="Prem Reddy"/>
    <s v="India"/>
    <s v="Karnataka"/>
    <n v="24000"/>
    <n v="1"/>
    <s v="Account-ArgosMob"/>
    <s v="UPI"/>
  </r>
  <r>
    <n v="20"/>
    <s v="Wednesday"/>
    <d v="2025-11-12T00:00:00"/>
    <s v="Old Acquisition"/>
    <s v="Android+IOS App"/>
    <x v="0"/>
    <s v="Degree India"/>
    <s v="Taufeeq"/>
    <s v="India"/>
    <s v="Uttar Pradesh"/>
    <n v="15000"/>
    <n v="1"/>
    <s v="Chandan"/>
    <s v="UPI"/>
  </r>
  <r>
    <n v="21"/>
    <s v="Friday"/>
    <d v="2025-11-14T00:00:00"/>
    <s v="New Acquisition"/>
    <s v="Website"/>
    <x v="0"/>
    <s v="Enlightify"/>
    <s v="Apoorv"/>
    <s v="India"/>
    <s v="Uttar Pradesh"/>
    <n v="7000"/>
    <n v="1"/>
    <s v="Chandan"/>
    <s v="UPI"/>
  </r>
  <r>
    <n v="22"/>
    <s v="Saturday"/>
    <d v="2025-11-15T00:00:00"/>
    <s v="Old Acquisition"/>
    <s v="Website"/>
    <x v="0"/>
    <s v="Makroo"/>
    <s v="Umar"/>
    <s v="India"/>
    <s v="Jammu"/>
    <n v="7500"/>
    <n v="1"/>
    <s v="Account-ArgosMob"/>
    <s v="PhonePe"/>
  </r>
  <r>
    <n v="23"/>
    <s v="Saturday"/>
    <d v="2025-11-15T00:00:00"/>
    <s v="New Acquisition"/>
    <s v="Android+IOS App"/>
    <x v="3"/>
    <s v="Easy Rasta"/>
    <s v="Dennis Anthony"/>
    <s v="India"/>
    <s v="Karnataka"/>
    <n v="30000"/>
    <n v="1"/>
    <s v="Account-ArgosMob"/>
    <s v="PhonePe"/>
  </r>
  <r>
    <n v="24"/>
    <s v="Sunday"/>
    <d v="2025-11-16T00:00:00"/>
    <s v="Old Acquisition"/>
    <s v="Website"/>
    <x v="0"/>
    <s v="Healthy Manushya"/>
    <s v="Arun Sharma"/>
    <s v="India"/>
    <s v="Punjab"/>
    <n v="5000"/>
    <n v="1"/>
    <s v="Chandan"/>
    <s v="UPI"/>
  </r>
  <r>
    <n v="25"/>
    <s v="Monday"/>
    <d v="2025-11-17T00:00:00"/>
    <s v="Old Acquisition"/>
    <s v="Android+IOS App"/>
    <x v="1"/>
    <s v="Fornix"/>
    <s v="Venket"/>
    <s v="India"/>
    <s v="Karnataka"/>
    <n v="40000"/>
    <n v="1"/>
    <s v="Account-ArgosMob"/>
    <s v="UPI"/>
  </r>
  <r>
    <n v="26"/>
    <s v="Monday"/>
    <d v="2025-11-17T00:00:00"/>
    <s v="Old Acquisition"/>
    <s v="Android+IOS App+Website"/>
    <x v="1"/>
    <s v="MediConnect"/>
    <s v="Brij"/>
    <s v="India"/>
    <s v="Haryana"/>
    <n v="85000"/>
    <n v="1"/>
    <s v="Account-ArgosMob"/>
    <s v="UPI"/>
  </r>
  <r>
    <n v="27"/>
    <s v="Wednesday"/>
    <d v="2025-11-19T00:00:00"/>
    <s v="Old Acquisition"/>
    <s v="Android+IOS App+Website"/>
    <x v="1"/>
    <s v="MediConnect"/>
    <s v="Brij"/>
    <s v="India"/>
    <s v="Haryana"/>
    <n v="60000"/>
    <n v="1"/>
    <s v="Account-ArgosMob"/>
    <s v="UPI"/>
  </r>
  <r>
    <n v="28"/>
    <s v="Thursday"/>
    <d v="2025-11-20T00:00:00"/>
    <s v="New Acquisition"/>
    <s v="Android+IOS App"/>
    <x v="2"/>
    <s v="FitLeap"/>
    <s v="Babu Raj"/>
    <s v="India"/>
    <s v="West Bengal"/>
    <n v="40000"/>
    <n v="1"/>
    <s v="Account-ArgosMob"/>
    <s v="UPI"/>
  </r>
  <r>
    <n v="29"/>
    <s v="Friday"/>
    <d v="2025-11-21T00:00:00"/>
    <s v="New Acquisition"/>
    <s v="Android+IOS App"/>
    <x v="3"/>
    <s v="SK Car Finance"/>
    <s v="Prateek Srivastava"/>
    <s v="India"/>
    <s v="Uttar Pradesh"/>
    <n v="10000"/>
    <n v="1"/>
    <s v="Account-ArgosMob"/>
    <s v="Axis Bank UPI"/>
  </r>
  <r>
    <n v="30"/>
    <s v="Friday"/>
    <d v="2025-11-21T00:00:00"/>
    <s v="Old Acquisition"/>
    <s v="Android+IOS App"/>
    <x v="2"/>
    <s v="Bhardwaj hospital "/>
    <s v="Dr Arun"/>
    <s v="India"/>
    <s v="Uttar Pradesh"/>
    <n v="30000"/>
    <n v="1"/>
    <s v="Account-ArgosMob"/>
    <s v="UPI"/>
  </r>
  <r>
    <n v="31"/>
    <s v="Monday"/>
    <d v="2025-11-24T00:00:00"/>
    <s v="New Acquisition"/>
    <s v="Android+IOS App"/>
    <x v="3"/>
    <s v="SK Car Finance"/>
    <s v="Prateek Srivastava"/>
    <s v="India"/>
    <s v="Uttar Pradesh"/>
    <n v="10000"/>
    <n v="1"/>
    <s v="Account-ArgosMob"/>
    <s v="Axis Bank UPI"/>
  </r>
  <r>
    <n v="32"/>
    <s v="Tuesday"/>
    <d v="2025-11-25T00:00:00"/>
    <s v="New Acquisition"/>
    <s v="Android+IOS App"/>
    <x v="0"/>
    <s v="NGK"/>
    <s v="Strini Naidu"/>
    <s v="South Africa"/>
    <m/>
    <n v="52337.42"/>
    <n v="1"/>
    <s v="Chandan"/>
    <s v="Net Banking"/>
  </r>
  <r>
    <n v="33"/>
    <s v="Thursday"/>
    <d v="2025-11-27T00:00:00"/>
    <s v="New Acquisition"/>
    <s v="Android+IOS App+Website"/>
    <x v="2"/>
    <s v="Local Market Online"/>
    <s v="Vinod Khosla"/>
    <s v="India"/>
    <s v="Punjab"/>
    <n v="80000"/>
    <n v="1"/>
    <s v="Account-ArgosMob"/>
    <s v="Net Banking"/>
  </r>
  <r>
    <n v="34"/>
    <s v="Saturday"/>
    <d v="2025-11-29T00:00:00"/>
    <s v="New Acquisition"/>
    <s v="Android+IOS App"/>
    <x v="3"/>
    <s v="School Management App"/>
    <s v="Amitosh Chaudhary"/>
    <s v="India"/>
    <s v="Bihar"/>
    <n v="65000"/>
    <n v="1"/>
    <s v="Account-ArgosMob"/>
    <s v="Net Banking"/>
  </r>
  <r>
    <n v="35"/>
    <s v="Monday"/>
    <d v="2025-12-01T00:00:00"/>
    <s v="New Acquisition"/>
    <s v="Android App"/>
    <x v="2"/>
    <s v="Real estate Data Management "/>
    <s v="Akash Tripathi"/>
    <s v="India"/>
    <s v="Lucknow"/>
    <n v="32000"/>
    <n v="1"/>
    <s v="Chandan"/>
    <s v="Gateway"/>
  </r>
  <r>
    <n v="36"/>
    <s v="Tuesday"/>
    <d v="2025-12-02T00:00:00"/>
    <s v="New Acquisition"/>
    <s v="Android+IOS App+Website"/>
    <x v="2"/>
    <s v="Agriebookhub"/>
    <s v="Sanjay Kumar "/>
    <s v="India"/>
    <s v="Madhya Pradesh"/>
    <n v="40000"/>
    <n v="1"/>
    <s v="Chandan"/>
    <s v="Gateway"/>
  </r>
  <r>
    <n v="37"/>
    <s v="Friday"/>
    <d v="2025-12-05T00:00:00"/>
    <s v="New Acquisition"/>
    <s v="Android+IOS App"/>
    <x v="3"/>
    <s v="Digital Poster App"/>
    <s v="Gaurav Shashti"/>
    <s v="India"/>
    <s v="Maharashtra"/>
    <n v="35000"/>
    <n v="1"/>
    <s v="Account-ArgosMob"/>
    <s v="Net Banking"/>
  </r>
  <r>
    <n v="38"/>
    <s v="Friday"/>
    <d v="2025-12-05T00:00:00"/>
    <s v="Old Acquisition"/>
    <s v="Android+IOS App"/>
    <x v="2"/>
    <s v="Bla-Bla"/>
    <s v="Prem Reddy"/>
    <s v="India"/>
    <s v="Karnataka"/>
    <n v="34000"/>
    <n v="1"/>
    <s v="Account-ArgosMob"/>
    <s v="UPI"/>
  </r>
  <r>
    <n v="39"/>
    <s v="Monday"/>
    <d v="2025-12-08T00:00:00"/>
    <s v="Old Acquisition"/>
    <s v="Android+IOS App"/>
    <x v="3"/>
    <s v="Easy Rasta"/>
    <s v="Dennis Anthony"/>
    <s v="India"/>
    <s v="Karnataka"/>
    <n v="45000"/>
    <n v="1"/>
    <s v="Account-ArgosMob"/>
    <s v="PhonePe"/>
  </r>
  <r>
    <n v="40"/>
    <s v="Tuesday"/>
    <d v="2025-12-09T00:00:00"/>
    <s v="Old Acquisition"/>
    <s v="Android+IOS App"/>
    <x v="2"/>
    <s v="FitLeap"/>
    <s v="Babu Raj"/>
    <s v="India"/>
    <s v="West Bengal"/>
    <n v="40000"/>
    <n v="1"/>
    <s v="Account-ArgosMob"/>
    <s v="UPI"/>
  </r>
  <r>
    <n v="41"/>
    <s v="Thursday"/>
    <d v="2025-12-11T00:00:00"/>
    <s v="Old Acquisition"/>
    <s v="Website"/>
    <x v="0"/>
    <s v="Healthy Manushya"/>
    <s v="Arun Sharma"/>
    <s v="India"/>
    <s v="Punjab"/>
    <n v="10000"/>
    <n v="1"/>
    <s v="Account-ArgosMob"/>
    <s v="UPI"/>
  </r>
  <r>
    <n v="42"/>
    <s v="Thursday"/>
    <d v="2025-12-11T00:00:00"/>
    <s v="New Acquisition"/>
    <s v="Android+IOS App"/>
    <x v="3"/>
    <s v="Engineered Hybrid Ride-Sharing Platform"/>
    <s v="Srishylam Jadi"/>
    <s v="India"/>
    <s v="Karnataka"/>
    <n v="16500"/>
    <n v="1"/>
    <s v="Account-ArgosMob"/>
    <s v="Net Banking"/>
  </r>
  <r>
    <n v="43"/>
    <s v="Monday"/>
    <d v="2025-12-15T00:00:00"/>
    <s v="New Acquisition"/>
    <s v="Android+IOS App"/>
    <x v="2"/>
    <s v="OTT App"/>
    <s v="VanLal"/>
    <s v="India"/>
    <s v="Mizoram"/>
    <n v="50000"/>
    <n v="1"/>
    <s v="Account-ArgosMob"/>
    <s v="Net Banking"/>
  </r>
  <r>
    <n v="44"/>
    <s v="Tuesday"/>
    <d v="2025-12-16T00:00:00"/>
    <s v="Old Acquisition"/>
    <s v="Android+IOS App"/>
    <x v="2"/>
    <s v="Eco Volt Solar"/>
    <s v="Kuldeep"/>
    <s v="India"/>
    <s v="Uttar Pradesh"/>
    <n v="30000"/>
    <n v="1"/>
    <s v="Account-ArgosMob"/>
    <s v="Net Banking"/>
  </r>
  <r>
    <n v="45"/>
    <s v="Tuesday"/>
    <d v="2025-12-16T00:00:00"/>
    <s v="New Acquisition"/>
    <s v="Website"/>
    <x v="0"/>
    <s v="Brandloomi"/>
    <s v="Anuj"/>
    <s v="India"/>
    <s v="Ireland"/>
    <n v="15000"/>
    <n v="1"/>
    <s v="Vansh"/>
    <s v="UPI"/>
  </r>
  <r>
    <n v="46"/>
    <s v="Thursday"/>
    <d v="2025-12-18T00:00:00"/>
    <s v="New Acquisition"/>
    <s v="Android+IOS App"/>
    <x v="3"/>
    <s v="Engineered Hybrid Ride-Sharing Platform"/>
    <s v="Srishylam Jadi"/>
    <s v="India"/>
    <s v="Karnataka"/>
    <n v="49500"/>
    <n v="1"/>
    <s v="Account-ArgosMob"/>
    <s v="Net Banking"/>
  </r>
  <r>
    <n v="47"/>
    <s v="Thursday"/>
    <d v="2025-12-18T00:00:00"/>
    <s v="New Acquisition"/>
    <s v="Android+IOS App+Website"/>
    <x v="2"/>
    <s v="Agriebookhub"/>
    <s v="Sanjay Kumar "/>
    <s v="India"/>
    <s v="Madhya Pradesh"/>
    <n v="30000"/>
    <n v="1"/>
    <s v="Chandan"/>
    <s v="PhonePe"/>
  </r>
  <r>
    <n v="48"/>
    <s v="Saturday"/>
    <d v="2025-12-20T00:00:00"/>
    <s v="New Acquisition"/>
    <s v="Android+IOS App"/>
    <x v="3"/>
    <s v="School Management App"/>
    <s v="Amitosh Chaudhary"/>
    <s v="India"/>
    <s v="Bihar"/>
    <n v="140000"/>
    <n v="1"/>
    <s v="Account-ArgosMob"/>
    <s v="Net Banking"/>
  </r>
  <r>
    <n v="49"/>
    <s v="Friday"/>
    <d v="2025-12-26T00:00:00"/>
    <s v="Old Acquisition"/>
    <s v="Android+IOS App"/>
    <x v="3"/>
    <s v="SK Car Finance"/>
    <s v="Prateek Srivastava"/>
    <s v="India"/>
    <s v="Uttar Pradesh"/>
    <n v="10000"/>
    <n v="1"/>
    <s v="Account-ArgosMob"/>
    <s v="Net Banking"/>
  </r>
  <r>
    <n v="50"/>
    <s v="Monday"/>
    <d v="2025-12-29T00:00:00"/>
    <s v="New Acquisition"/>
    <s v="Android+IOS App"/>
    <x v="2"/>
    <s v="Taxi App"/>
    <s v="Md Aslam"/>
    <s v="India"/>
    <s v="Jammu"/>
    <n v="10000"/>
    <n v="1"/>
    <s v="Account-ArgosMob"/>
    <s v="Net Banking"/>
  </r>
  <r>
    <n v="51"/>
    <s v="Thursday"/>
    <d v="2026-01-08T00:00:00"/>
    <s v="Old Acquisition"/>
    <s v="Android+IOS App+Website"/>
    <x v="2"/>
    <s v="Local Market Online"/>
    <s v="Vinod Khosla"/>
    <s v="India"/>
    <s v="Punjab"/>
    <n v="60000"/>
    <n v="1"/>
    <s v="Account-ArgosMob"/>
    <s v="Net Banking"/>
  </r>
  <r>
    <n v="52"/>
    <s v="Friday"/>
    <d v="2026-01-09T00:00:00"/>
    <s v="Old Acquisition"/>
    <s v="Android+IOS App"/>
    <x v="3"/>
    <s v="SK Car Finance"/>
    <s v="Prateek Srivastava"/>
    <s v="India"/>
    <s v="Uttar Pradesh"/>
    <n v="20000"/>
    <n v="1"/>
    <s v="Account-ArgosMob"/>
    <s v="Net Banking"/>
  </r>
  <r>
    <n v="53"/>
    <s v="Monday"/>
    <d v="2026-01-12T00:00:00"/>
    <s v="New Acquisition"/>
    <s v="Android+IOS App"/>
    <x v="3"/>
    <s v="Urban Elite"/>
    <s v="Mahendra"/>
    <s v="India"/>
    <s v="Andaman"/>
    <n v="10000"/>
    <n v="1"/>
    <s v="Account-ArgosMob"/>
    <s v="Net Banking"/>
  </r>
  <r>
    <n v="54"/>
    <s v="Tuesday"/>
    <d v="2026-01-13T00:00:00"/>
    <s v="Old Acquisition"/>
    <s v="Android+IOS App"/>
    <x v="3"/>
    <s v="Engineered Hybrid Ride-Sharing Platform"/>
    <s v="Srishylam Jadi"/>
    <s v="India"/>
    <s v="Karnataka"/>
    <n v="49500"/>
    <n v="1"/>
    <s v="Account-ArgosMob"/>
    <s v="Net Banking"/>
  </r>
  <r>
    <n v="55"/>
    <s v="Thursday"/>
    <d v="2026-01-15T00:00:00"/>
    <s v="Old Acquisition"/>
    <s v="Android+IOS App+Website"/>
    <x v="2"/>
    <s v="Agriebookhub"/>
    <s v="Sanjay Kumar "/>
    <s v="India"/>
    <s v="Madhya Pradesh"/>
    <n v="30000"/>
    <n v="1"/>
    <s v="Vansh"/>
    <s v="UPI"/>
  </r>
  <r>
    <n v="56"/>
    <s v="Thursday"/>
    <d v="2026-01-15T00:00:00"/>
    <s v="Old Acquisition"/>
    <s v="Android+IOS App"/>
    <x v="1"/>
    <s v="Fornix"/>
    <s v="Venket"/>
    <s v="India"/>
    <s v="Karnataka"/>
    <n v="40000"/>
    <n v="1"/>
    <s v="Account-ArgosMob"/>
    <s v="UPI"/>
  </r>
  <r>
    <n v="57"/>
    <s v="Tuesday"/>
    <d v="2026-01-20T00:00:00"/>
    <s v="New Acquisition"/>
    <s v="Android+IOS App"/>
    <x v="3"/>
    <s v="Urban Elite"/>
    <s v="Mahendra"/>
    <s v="India"/>
    <s v="Andaman"/>
    <n v="10000"/>
    <n v="1"/>
    <s v="Account-ArgosMob"/>
    <s v="Net Banking"/>
  </r>
  <r>
    <n v="58"/>
    <s v="Saturday"/>
    <d v="2026-01-24T00:00:00"/>
    <m/>
    <s v="Android+IOS App"/>
    <x v="0"/>
    <s v="Degree India"/>
    <s v="Taufeeq"/>
    <s v="India"/>
    <s v="Uttar Pradesh"/>
    <n v="15000"/>
    <n v="1"/>
    <s v="Chandan"/>
    <s v="UPI"/>
  </r>
  <r>
    <n v="59"/>
    <s v="Tuesday"/>
    <d v="2026-01-27T00:00:00"/>
    <s v="Old Acquisition"/>
    <s v="Android+IOS App"/>
    <x v="1"/>
    <s v="Fornix"/>
    <s v="Venket"/>
    <s v="India"/>
    <s v="Karnataka"/>
    <n v="40000"/>
    <n v="1"/>
    <s v="Rishabh"/>
    <s v="UPI"/>
  </r>
  <r>
    <n v="60"/>
    <s v="Tuesday"/>
    <d v="2026-01-27T00:00:00"/>
    <s v="Old Acquisition"/>
    <s v="Website"/>
    <x v="0"/>
    <s v="Fornix-website"/>
    <s v="Venket"/>
    <s v="India"/>
    <s v="Karnataka"/>
    <n v="10000"/>
    <n v="1"/>
    <s v="Rishabh"/>
    <s v="UPI"/>
  </r>
  <r>
    <n v="61"/>
    <s v="Monday"/>
    <d v="2026-02-02T00:00:00"/>
    <s v="Old Acquisition"/>
    <s v="Android+IOS App+Website"/>
    <x v="0"/>
    <s v="Local Market Online-AI work"/>
    <s v="Vinod Khosla"/>
    <s v="India"/>
    <s v="Punjab"/>
    <n v="25000"/>
    <n v="1"/>
    <s v="Account-KiloWatt"/>
    <s v="Net Banking"/>
  </r>
  <r>
    <n v="62"/>
    <s v="Monday"/>
    <d v="2026-02-02T00:00:00"/>
    <m/>
    <s v="Android+IOS App+Website"/>
    <x v="0"/>
    <s v="AI LMS Portal"/>
    <s v="Arun Swamy"/>
    <s v="India"/>
    <s v="Rajasthan"/>
    <n v="50000"/>
    <n v="1"/>
    <s v="Account-KiloWatt"/>
    <s v="Net Banking"/>
  </r>
  <r>
    <n v="63"/>
    <s v="Friday"/>
    <d v="2026-02-06T00:00:00"/>
    <m/>
    <s v="Website"/>
    <x v="0"/>
    <s v="Stenna-website"/>
    <s v="Madhur Goel"/>
    <s v="India"/>
    <s v="Delhi"/>
    <n v="25000"/>
    <n v="1"/>
    <s v="Account-KiloWatt"/>
    <s v="UPI"/>
  </r>
  <r>
    <n v="64"/>
    <s v="Saturday"/>
    <d v="2026-02-07T00:00:00"/>
    <s v="New Acquisition"/>
    <s v="Android+IOS App"/>
    <x v="3"/>
    <s v="Urban Elite"/>
    <s v="Mahendra"/>
    <s v="India"/>
    <s v="Andaman"/>
    <n v="30000"/>
    <n v="1"/>
    <s v="Account-KiloWatt"/>
    <s v="Net Banki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1"/>
    <s v="Monday"/>
    <x v="0"/>
    <s v="Android+IOS App"/>
    <s v="N/A"/>
    <s v="INR"/>
    <s v="Chandan+Rishabh"/>
    <x v="0"/>
    <s v="Taufeeq"/>
    <s v="India"/>
    <n v="250000"/>
    <n v="1"/>
    <n v="250000"/>
    <n v="50000"/>
    <n v="200000"/>
    <m/>
  </r>
  <r>
    <n v="2"/>
    <s v="Tuesday"/>
    <x v="1"/>
    <s v="Android App"/>
    <s v="Prachi Lohani"/>
    <s v="INR"/>
    <s v="Vansh+Krishna"/>
    <x v="1"/>
    <s v="Umar"/>
    <s v="India"/>
    <n v="60000"/>
    <n v="1"/>
    <n v="60000"/>
    <n v="60000"/>
    <n v="0"/>
    <m/>
  </r>
  <r>
    <n v="3"/>
    <s v="Sunday"/>
    <x v="2"/>
    <s v="AI"/>
    <s v="Parul Sandilya"/>
    <s v="INR"/>
    <s v="Chandan+Rishabh"/>
    <x v="2"/>
    <s v="Sushil"/>
    <s v="India"/>
    <n v="40000"/>
    <n v="1"/>
    <n v="40000"/>
    <n v="40000"/>
    <n v="0"/>
    <m/>
  </r>
  <r>
    <n v="4"/>
    <s v="Friday"/>
    <x v="3"/>
    <s v="Website"/>
    <s v="N/A"/>
    <s v="INR"/>
    <s v="Vansh+Krishna"/>
    <x v="3"/>
    <s v="Anuj"/>
    <s v="India"/>
    <n v="15000"/>
    <n v="1"/>
    <n v="15000"/>
    <n v="15000"/>
    <n v="0"/>
    <m/>
  </r>
  <r>
    <n v="5"/>
    <s v="Friday"/>
    <x v="3"/>
    <s v="Website"/>
    <s v="N/A"/>
    <s v="INR"/>
    <s v="Chandan+Rishabh"/>
    <x v="4"/>
    <s v="Arun Sharma"/>
    <s v="India"/>
    <n v="25000"/>
    <n v="1"/>
    <n v="25000"/>
    <n v="25000"/>
    <n v="0"/>
    <m/>
  </r>
  <r>
    <n v="6"/>
    <s v="Monday"/>
    <x v="4"/>
    <s v="Android+IOS App"/>
    <s v="N/A"/>
    <s v="INR"/>
    <s v="Vansh+Krishna"/>
    <x v="5"/>
    <s v="Rajesh"/>
    <s v="India"/>
    <n v="80000"/>
    <n v="1"/>
    <n v="80000"/>
    <n v="0"/>
    <n v="80000"/>
    <m/>
  </r>
  <r>
    <n v="7"/>
    <s v="Wednesday"/>
    <x v="5"/>
    <s v="Android+IOS App+Website"/>
    <s v="Prachi Lohani"/>
    <s v="INR"/>
    <s v="Vansh+Krishna"/>
    <x v="6"/>
    <s v="Brij"/>
    <s v="India"/>
    <n v="600000"/>
    <n v="1"/>
    <n v="600000"/>
    <n v="520001"/>
    <n v="79999"/>
    <m/>
  </r>
  <r>
    <n v="8"/>
    <s v="Friday"/>
    <x v="6"/>
    <s v="Android+IOS App"/>
    <s v="Prachi Lohani"/>
    <s v="INR"/>
    <s v="Vansh+Krishna"/>
    <x v="7"/>
    <s v="Venket"/>
    <s v="India"/>
    <n v="160000"/>
    <n v="1"/>
    <n v="160000"/>
    <n v="160000"/>
    <n v="0"/>
    <m/>
  </r>
  <r>
    <n v="9"/>
    <s v="Tuesday"/>
    <x v="7"/>
    <s v="AI"/>
    <s v="N/A"/>
    <s v="INR"/>
    <s v="Chandan+Rishabh"/>
    <x v="8"/>
    <s v="Madhur Goel"/>
    <s v="India"/>
    <n v="20000"/>
    <n v="1"/>
    <n v="20000"/>
    <n v="20000"/>
    <n v="0"/>
    <m/>
  </r>
  <r>
    <n v="10"/>
    <s v="Thursday"/>
    <x v="8"/>
    <s v="Android+IOS App"/>
    <s v="Parul Sandilya"/>
    <s v="INR"/>
    <s v="Vansh+Krishna"/>
    <x v="9"/>
    <s v="Prem Reddy"/>
    <s v="India"/>
    <n v="108000"/>
    <n v="1"/>
    <n v="108000"/>
    <n v="73000"/>
    <n v="35000"/>
    <m/>
  </r>
  <r>
    <n v="11"/>
    <s v="Friday"/>
    <x v="9"/>
    <s v="Android+IOS App"/>
    <s v="Parul Sandilya"/>
    <s v="INR"/>
    <s v="Vansh+Krishna"/>
    <x v="10"/>
    <s v="Dr Arun"/>
    <s v="India"/>
    <n v="75000"/>
    <n v="1"/>
    <n v="75000"/>
    <n v="52500"/>
    <n v="22500"/>
    <m/>
  </r>
  <r>
    <n v="12"/>
    <s v="Friday"/>
    <x v="9"/>
    <s v="Android+IOS App"/>
    <s v="Parul Sandilya"/>
    <s v="INR"/>
    <s v="Vansh+Krishna"/>
    <x v="11"/>
    <s v="Kuldeep"/>
    <s v="India"/>
    <n v="100000"/>
    <n v="1"/>
    <n v="100000"/>
    <n v="70000"/>
    <n v="30000"/>
    <m/>
  </r>
  <r>
    <n v="13"/>
    <s v="Wednesday"/>
    <x v="10"/>
    <s v="Website"/>
    <s v="N/A"/>
    <s v="INR"/>
    <s v="Vansh+Krishna"/>
    <x v="1"/>
    <s v="Umar"/>
    <s v="India"/>
    <n v="12500"/>
    <n v="1"/>
    <n v="12500"/>
    <n v="12500"/>
    <n v="0"/>
    <m/>
  </r>
  <r>
    <n v="14"/>
    <s v="Monday"/>
    <x v="11"/>
    <s v="Android+IOS App"/>
    <s v="Parul Sandilya"/>
    <s v="INR"/>
    <s v="Vansh+Krishna"/>
    <x v="12"/>
    <s v="M M Mishra"/>
    <s v="India"/>
    <n v="85000"/>
    <n v="1"/>
    <n v="85000"/>
    <n v="11000"/>
    <n v="74000"/>
    <m/>
  </r>
  <r>
    <n v="15"/>
    <s v="Wednesday"/>
    <x v="12"/>
    <s v="Android+IOS App"/>
    <s v="N/A"/>
    <s v="INR"/>
    <s v="Vansh+Krishna"/>
    <x v="13"/>
    <s v="Mahesh"/>
    <s v="India"/>
    <n v="15000"/>
    <n v="1"/>
    <n v="15000"/>
    <n v="0"/>
    <n v="15000"/>
    <m/>
  </r>
  <r>
    <n v="16"/>
    <s v="Wednesday"/>
    <x v="13"/>
    <s v="Android+IOS App"/>
    <s v="N/A"/>
    <s v="INR"/>
    <s v="Chandan+Rishabh"/>
    <x v="14"/>
    <s v="Taufeeq"/>
    <s v="India"/>
    <n v="30000"/>
    <n v="1"/>
    <n v="30000"/>
    <n v="30000"/>
    <n v="0"/>
    <m/>
  </r>
  <r>
    <n v="17"/>
    <s v="Friday"/>
    <x v="14"/>
    <s v="Website"/>
    <s v="N/A"/>
    <s v="INR"/>
    <s v="Chandan+Rishabh"/>
    <x v="15"/>
    <s v="Apoorv"/>
    <s v="India"/>
    <n v="25000"/>
    <n v="1"/>
    <n v="25000"/>
    <n v="7000"/>
    <n v="18000"/>
    <m/>
  </r>
  <r>
    <n v="18"/>
    <s v="Saturday"/>
    <x v="15"/>
    <s v="Android+IOS App"/>
    <s v="Haider"/>
    <s v="INR"/>
    <s v="Chandan+Rishabh"/>
    <x v="16"/>
    <s v="Dennis Anthony"/>
    <s v="India"/>
    <n v="150000"/>
    <n v="1"/>
    <n v="150000"/>
    <n v="75000"/>
    <n v="75000"/>
    <m/>
  </r>
  <r>
    <n v="19"/>
    <s v="Thursday"/>
    <x v="16"/>
    <s v="Android+IOS App"/>
    <s v="Parul Sandilya"/>
    <s v="INR"/>
    <s v="Vansh+Krishna"/>
    <x v="17"/>
    <s v="Babu Raj"/>
    <s v="India"/>
    <n v="160000"/>
    <n v="1"/>
    <n v="160000"/>
    <n v="120000"/>
    <n v="40000"/>
    <m/>
  </r>
  <r>
    <n v="20"/>
    <s v="Friday"/>
    <x v="17"/>
    <s v="Android+IOS App"/>
    <s v="Haider"/>
    <s v="INR"/>
    <s v="Vansh+Krishna"/>
    <x v="18"/>
    <s v="Prateek Srivastava"/>
    <s v="India"/>
    <n v="220000"/>
    <n v="1"/>
    <n v="220000"/>
    <n v="50000"/>
    <n v="170000"/>
    <m/>
  </r>
  <r>
    <n v="21"/>
    <s v="Tuesday"/>
    <x v="18"/>
    <s v="Android+IOS App"/>
    <s v="N/A"/>
    <s v="INR"/>
    <s v="Chandan+Rishabh"/>
    <x v="19"/>
    <s v="Strini Naidu"/>
    <s v="South Africa"/>
    <n v="2500"/>
    <n v="90"/>
    <n v="225000"/>
    <n v="142111.32"/>
    <n v="82888.679999999993"/>
    <m/>
  </r>
  <r>
    <n v="22"/>
    <s v="Thursday"/>
    <x v="19"/>
    <s v="Android+IOS App+Website"/>
    <s v="Parul Sandilya"/>
    <s v="INR"/>
    <s v="Chandan+Rishabh"/>
    <x v="20"/>
    <s v="Vinod Khosla"/>
    <s v="India"/>
    <n v="200000"/>
    <n v="1"/>
    <n v="200000"/>
    <n v="140000"/>
    <n v="60000"/>
    <m/>
  </r>
  <r>
    <n v="23"/>
    <s v="Saturday"/>
    <x v="20"/>
    <s v="Android+IOS App"/>
    <s v="Haider"/>
    <s v="INR"/>
    <s v="Chandan+Rishabh"/>
    <x v="21"/>
    <s v="Amitosh Chaudhary"/>
    <s v="India"/>
    <n v="212500"/>
    <n v="1"/>
    <n v="212500"/>
    <n v="205000"/>
    <n v="7500"/>
    <m/>
  </r>
  <r>
    <n v="24"/>
    <s v="Monday"/>
    <x v="21"/>
    <s v="Android App"/>
    <s v="Parul Sandilya"/>
    <s v="INR"/>
    <s v="Vansh+Krishna"/>
    <x v="22"/>
    <s v="Akash Tripathi"/>
    <s v="India"/>
    <n v="80000"/>
    <n v="1"/>
    <n v="80000"/>
    <n v="56000"/>
    <n v="24000"/>
    <m/>
  </r>
  <r>
    <n v="25"/>
    <s v="Tuesday"/>
    <x v="22"/>
    <s v="Android+IOS App+Website"/>
    <s v="Parul Sandilya"/>
    <s v="INR"/>
    <s v="Vansh+Krishna"/>
    <x v="23"/>
    <s v="Sanjay Kumar "/>
    <s v="India"/>
    <n v="100000"/>
    <n v="1"/>
    <n v="100000"/>
    <n v="100000"/>
    <n v="0"/>
    <m/>
  </r>
  <r>
    <n v="26"/>
    <s v="Friday"/>
    <x v="23"/>
    <s v="Android+IOS App"/>
    <s v="Haider"/>
    <s v="INR"/>
    <s v="Vansh+Krishna"/>
    <x v="24"/>
    <s v="Gaurav Shashti"/>
    <s v="India"/>
    <n v="150000"/>
    <n v="1"/>
    <n v="150000"/>
    <n v="35000"/>
    <n v="115000"/>
    <m/>
  </r>
  <r>
    <n v="27"/>
    <s v="Thursday"/>
    <x v="24"/>
    <s v="Android+IOS App"/>
    <s v="Haider"/>
    <s v="INR"/>
    <s v="Vansh+Krishna"/>
    <x v="25"/>
    <s v="Srishylam Jadi"/>
    <s v="India"/>
    <n v="165000"/>
    <n v="1"/>
    <n v="165000"/>
    <n v="115500"/>
    <n v="49500"/>
    <m/>
  </r>
  <r>
    <n v="28"/>
    <s v="Monday"/>
    <x v="25"/>
    <s v="Android+IOS App"/>
    <s v="Parul Sandilya"/>
    <s v="INR"/>
    <s v="Vansh+Krishna"/>
    <x v="26"/>
    <s v="VanLal"/>
    <s v="India"/>
    <n v="100000"/>
    <n v="1"/>
    <n v="100000"/>
    <n v="50000"/>
    <n v="50000"/>
    <m/>
  </r>
  <r>
    <n v="29"/>
    <s v="Friday"/>
    <x v="26"/>
    <s v="Website"/>
    <s v="N/A"/>
    <s v="INR"/>
    <s v="Chandan+Rishabh"/>
    <x v="27"/>
    <s v="Amogh"/>
    <s v="India"/>
    <n v="31000"/>
    <n v="1"/>
    <n v="31000"/>
    <n v="0"/>
    <n v="31000"/>
    <m/>
  </r>
  <r>
    <n v="30"/>
    <s v="Monday"/>
    <x v="27"/>
    <s v="Android+IOS App"/>
    <s v="Parul Sandilya"/>
    <s v="INR"/>
    <s v="Vansh+Krishna"/>
    <x v="28"/>
    <s v="Md Aslam"/>
    <s v="India"/>
    <n v="104000"/>
    <n v="1"/>
    <n v="104000"/>
    <n v="10000"/>
    <n v="94000"/>
    <m/>
  </r>
  <r>
    <n v="31"/>
    <s v="Monday"/>
    <x v="28"/>
    <s v="Android+IOS App"/>
    <s v="Haider"/>
    <s v="INR"/>
    <s v="Vansh+Krishna"/>
    <x v="29"/>
    <s v="Mahendra"/>
    <s v="India"/>
    <n v="85000"/>
    <n v="1"/>
    <n v="85000"/>
    <n v="50000"/>
    <n v="35000"/>
    <m/>
  </r>
  <r>
    <n v="32"/>
    <s v="Thursday"/>
    <x v="29"/>
    <s v="Website"/>
    <s v="N/A"/>
    <s v="INR"/>
    <s v="Vansh+Krishna"/>
    <x v="30"/>
    <s v="Venket"/>
    <s v="India"/>
    <n v="60000"/>
    <n v="1"/>
    <n v="60000"/>
    <n v="60000"/>
    <n v="0"/>
    <m/>
  </r>
  <r>
    <n v="33"/>
    <s v="Monday"/>
    <x v="30"/>
    <s v="Android+IOS App+Website"/>
    <s v="N/A"/>
    <s v="INR"/>
    <s v="Chandan+Rishabh"/>
    <x v="31"/>
    <s v="Arun Swamy"/>
    <s v="India"/>
    <n v="400000"/>
    <n v="1"/>
    <n v="400000"/>
    <n v="100000"/>
    <n v="300000"/>
    <m/>
  </r>
  <r>
    <n v="34"/>
    <s v="Wednesday"/>
    <x v="31"/>
    <s v="Android+IOS App+Website"/>
    <s v="N/A"/>
    <s v="INR"/>
    <s v="Vansh+Krishna"/>
    <x v="32"/>
    <s v="Vinod Khosla"/>
    <s v="India"/>
    <n v="25000"/>
    <n v="1"/>
    <n v="25000"/>
    <n v="25000"/>
    <n v="0"/>
    <m/>
  </r>
  <r>
    <n v="35"/>
    <s v="Thursday"/>
    <x v="32"/>
    <s v="Website"/>
    <s v="N/A"/>
    <s v="INR"/>
    <s v="Chandan+Rishabh"/>
    <x v="33"/>
    <s v="Madhur Goel"/>
    <s v="India"/>
    <n v="50000"/>
    <n v="1"/>
    <n v="50000"/>
    <n v="25000"/>
    <n v="25000"/>
    <m/>
  </r>
  <r>
    <n v="36"/>
    <s v="Monday"/>
    <x v="33"/>
    <s v="Android+IOS App+Website"/>
    <s v="Haider"/>
    <s v="INR"/>
    <m/>
    <x v="34"/>
    <s v="Sadiq"/>
    <s v="India"/>
    <n v="190000"/>
    <n v="1"/>
    <n v="190000"/>
    <n v="57000"/>
    <n v="133000"/>
    <m/>
  </r>
  <r>
    <m/>
    <m/>
    <x v="34"/>
    <m/>
    <m/>
    <m/>
    <m/>
    <x v="35"/>
    <m/>
    <m/>
    <m/>
    <m/>
    <n v="0"/>
    <n v="0"/>
    <n v="0"/>
    <m/>
  </r>
  <r>
    <m/>
    <m/>
    <x v="34"/>
    <m/>
    <m/>
    <m/>
    <m/>
    <x v="35"/>
    <m/>
    <m/>
    <m/>
    <m/>
    <n v="0"/>
    <n v="0"/>
    <n v="0"/>
    <m/>
  </r>
  <r>
    <m/>
    <m/>
    <x v="34"/>
    <m/>
    <m/>
    <m/>
    <m/>
    <x v="35"/>
    <m/>
    <m/>
    <m/>
    <m/>
    <n v="0"/>
    <n v="0"/>
    <n v="0"/>
    <m/>
  </r>
  <r>
    <m/>
    <m/>
    <x v="34"/>
    <m/>
    <m/>
    <m/>
    <m/>
    <x v="35"/>
    <m/>
    <m/>
    <m/>
    <m/>
    <n v="0"/>
    <n v="0"/>
    <n v="0"/>
    <m/>
  </r>
  <r>
    <m/>
    <m/>
    <x v="34"/>
    <m/>
    <m/>
    <m/>
    <m/>
    <x v="35"/>
    <m/>
    <m/>
    <m/>
    <m/>
    <n v="0"/>
    <n v="0"/>
    <n v="0"/>
    <m/>
  </r>
  <r>
    <m/>
    <m/>
    <x v="34"/>
    <m/>
    <m/>
    <m/>
    <m/>
    <x v="35"/>
    <m/>
    <m/>
    <m/>
    <m/>
    <n v="0"/>
    <n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8">
  <r>
    <n v="1"/>
    <d v="2025-09-01T00:00:00"/>
    <s v="Monday"/>
    <x v="0"/>
    <s v="FB Ads"/>
    <s v="FB Budget : 265425466458147"/>
    <n v="1000"/>
    <s v="Chandan"/>
    <m/>
  </r>
  <r>
    <n v="2"/>
    <d v="2025-09-01T00:00:00"/>
    <s v="Monday"/>
    <x v="1"/>
    <s v="Chai/Coffee"/>
    <m/>
    <n v="80"/>
    <s v="Rishabh"/>
    <m/>
  </r>
  <r>
    <n v="3"/>
    <d v="2025-09-01T00:00:00"/>
    <s v="Monday"/>
    <x v="1"/>
    <m/>
    <m/>
    <n v="100"/>
    <s v="Rishabh"/>
    <m/>
  </r>
  <r>
    <n v="4"/>
    <d v="2025-09-01T00:00:00"/>
    <s v="Monday"/>
    <x v="2"/>
    <m/>
    <m/>
    <n v="252"/>
    <s v="Krishna"/>
    <m/>
  </r>
  <r>
    <n v="5"/>
    <d v="2025-09-02T00:00:00"/>
    <s v="Tuesday"/>
    <x v="1"/>
    <s v="Chai/Coffee"/>
    <m/>
    <n v="215"/>
    <s v="Rishabh"/>
    <m/>
  </r>
  <r>
    <n v="6"/>
    <d v="2025-09-02T00:00:00"/>
    <s v="Tuesday"/>
    <x v="3"/>
    <s v="TS-618"/>
    <s v="TS-618"/>
    <n v="2500"/>
    <s v="Rishabh"/>
    <m/>
  </r>
  <r>
    <n v="7"/>
    <d v="2025-09-02T00:00:00"/>
    <s v="Tuesday"/>
    <x v="0"/>
    <s v="FB Ads"/>
    <s v="FB Budget : 265425466458147"/>
    <n v="20000"/>
    <s v="Chandan"/>
    <m/>
  </r>
  <r>
    <n v="8"/>
    <d v="2025-09-02T00:00:00"/>
    <s v="Tuesday"/>
    <x v="1"/>
    <s v="Maggi/Tea"/>
    <m/>
    <n v="428"/>
    <s v="Rishabh"/>
    <m/>
  </r>
  <r>
    <n v="9"/>
    <d v="2025-09-03T00:00:00"/>
    <s v="Wednesday"/>
    <x v="4"/>
    <m/>
    <m/>
    <n v="500"/>
    <s v="Krishna"/>
    <m/>
  </r>
  <r>
    <n v="10"/>
    <d v="2025-09-03T00:00:00"/>
    <s v="Wednesday"/>
    <x v="1"/>
    <s v="Chai"/>
    <m/>
    <n v="30"/>
    <s v="Rishabh"/>
    <m/>
  </r>
  <r>
    <n v="11"/>
    <d v="2025-09-03T00:00:00"/>
    <s v="Wednesday"/>
    <x v="1"/>
    <m/>
    <s v="Printout"/>
    <n v="64"/>
    <s v="Chandan"/>
    <m/>
  </r>
  <r>
    <n v="12"/>
    <d v="2025-09-03T00:00:00"/>
    <s v="Wednesday"/>
    <x v="1"/>
    <s v="Coffee Sachets"/>
    <m/>
    <n v="96"/>
    <s v="Vansh"/>
    <m/>
  </r>
  <r>
    <n v="13"/>
    <d v="2025-09-04T00:00:00"/>
    <s v="Thursday"/>
    <x v="1"/>
    <s v="Prachi B'day Cake"/>
    <m/>
    <n v="685"/>
    <s v="Rishabh"/>
    <m/>
  </r>
  <r>
    <n v="14"/>
    <d v="2025-09-05T00:00:00"/>
    <s v="Friday"/>
    <x v="1"/>
    <s v="Fun"/>
    <m/>
    <n v="191"/>
    <s v="Krishna"/>
    <m/>
  </r>
  <r>
    <n v="15"/>
    <d v="2025-09-08T00:00:00"/>
    <s v="Monday"/>
    <x v="1"/>
    <s v="Tea"/>
    <m/>
    <n v="40"/>
    <s v="Rishabh"/>
    <m/>
  </r>
  <r>
    <n v="16"/>
    <d v="2025-09-08T00:00:00"/>
    <s v="Monday"/>
    <x v="1"/>
    <s v="Mouse"/>
    <m/>
    <n v="619"/>
    <s v="Krishna"/>
    <m/>
  </r>
  <r>
    <n v="17"/>
    <d v="2025-09-09T00:00:00"/>
    <s v="Tuesday"/>
    <x v="1"/>
    <s v="Chai/Coffee"/>
    <m/>
    <n v="105"/>
    <s v="Krishna"/>
    <m/>
  </r>
  <r>
    <n v="18"/>
    <d v="2025-09-09T00:00:00"/>
    <s v="Tuesday"/>
    <x v="1"/>
    <s v="Lunch"/>
    <m/>
    <n v="1134"/>
    <s v="Krishna"/>
    <m/>
  </r>
  <r>
    <n v="19"/>
    <d v="2025-09-09T00:00:00"/>
    <s v="Tuesday"/>
    <x v="1"/>
    <s v="Coke lunch"/>
    <m/>
    <n v="140"/>
    <s v="Krishna"/>
    <m/>
  </r>
  <r>
    <n v="20"/>
    <d v="2025-09-09T00:00:00"/>
    <s v="Tuesday"/>
    <x v="1"/>
    <s v="Chai/Coffee"/>
    <m/>
    <n v="179"/>
    <s v="Vansh"/>
    <m/>
  </r>
  <r>
    <n v="21"/>
    <d v="2025-09-09T00:00:00"/>
    <s v="Tuesday"/>
    <x v="1"/>
    <s v="Stationary "/>
    <m/>
    <n v="120"/>
    <s v="Krishna"/>
    <m/>
  </r>
  <r>
    <n v="22"/>
    <d v="2025-09-10T00:00:00"/>
    <s v="Wednesday"/>
    <x v="1"/>
    <s v="Chai/Coffee"/>
    <m/>
    <n v="165"/>
    <s v="Krishna"/>
    <m/>
  </r>
  <r>
    <n v="23"/>
    <d v="2025-09-10T00:00:00"/>
    <s v="Wednesday"/>
    <x v="5"/>
    <s v="Previous staff salary"/>
    <s v="Paid to Aradhna"/>
    <n v="3000"/>
    <s v="Account-ArgosMob"/>
    <m/>
  </r>
  <r>
    <n v="24"/>
    <d v="2025-09-11T00:00:00"/>
    <s v="Thursday"/>
    <x v="1"/>
    <s v="Chai/Coffee"/>
    <m/>
    <n v="120"/>
    <s v="Krishna"/>
    <m/>
  </r>
  <r>
    <n v="25"/>
    <d v="2025-09-12T00:00:00"/>
    <s v="Friday"/>
    <x v="1"/>
    <s v="Basket, colin, vim bar"/>
    <m/>
    <n v="385"/>
    <s v="Krishna"/>
    <m/>
  </r>
  <r>
    <n v="26"/>
    <d v="2025-09-15T00:00:00"/>
    <s v="Monday"/>
    <x v="1"/>
    <s v="Chai/Coffee"/>
    <m/>
    <n v="165"/>
    <s v="Chandan"/>
    <m/>
  </r>
  <r>
    <n v="27"/>
    <d v="2025-09-16T00:00:00"/>
    <s v="Tuesday"/>
    <x v="1"/>
    <s v="Mobile recharge"/>
    <m/>
    <n v="542"/>
    <s v="Krishna"/>
    <m/>
  </r>
  <r>
    <n v="28"/>
    <d v="2025-09-16T00:00:00"/>
    <s v="Tuesday"/>
    <x v="1"/>
    <s v="Chai/Coffee"/>
    <m/>
    <n v="545"/>
    <s v="Krishna"/>
    <m/>
  </r>
  <r>
    <n v="29"/>
    <d v="2025-09-17T00:00:00"/>
    <s v="Wednesday"/>
    <x v="1"/>
    <s v="Chai/Coffee"/>
    <m/>
    <n v="260"/>
    <s v="Vansh"/>
    <m/>
  </r>
  <r>
    <n v="30"/>
    <d v="2025-09-17T00:00:00"/>
    <s v="Wednesday"/>
    <x v="1"/>
    <s v="KFC"/>
    <m/>
    <n v="667"/>
    <s v="Vansh"/>
    <m/>
  </r>
  <r>
    <n v="31"/>
    <d v="2025-09-18T00:00:00"/>
    <s v="Thursday"/>
    <x v="1"/>
    <s v="Chai/Coffee"/>
    <m/>
    <n v="280"/>
    <s v="Krishna"/>
    <m/>
  </r>
  <r>
    <n v="32"/>
    <d v="2025-09-18T00:00:00"/>
    <s v="Thursday"/>
    <x v="1"/>
    <s v="Electricity"/>
    <m/>
    <n v="1000"/>
    <s v="Krishna"/>
    <m/>
  </r>
  <r>
    <n v="33"/>
    <d v="2025-09-18T00:00:00"/>
    <s v="Thursday"/>
    <x v="1"/>
    <s v="Ice cream"/>
    <m/>
    <n v="260"/>
    <s v="Krishna"/>
    <m/>
  </r>
  <r>
    <n v="34"/>
    <d v="2025-09-18T00:00:00"/>
    <s v="Thursday"/>
    <x v="1"/>
    <s v="Internet"/>
    <m/>
    <n v="1005"/>
    <s v="Vansh"/>
    <m/>
  </r>
  <r>
    <n v="35"/>
    <d v="2025-09-20T00:00:00"/>
    <s v="Saturday"/>
    <x v="6"/>
    <m/>
    <s v="Non-maintenance of AQB"/>
    <n v="1623.97"/>
    <s v="Account-ArgosMob"/>
    <m/>
  </r>
  <r>
    <n v="36"/>
    <d v="2025-09-21T00:00:00"/>
    <s v="Sunday"/>
    <x v="7"/>
    <m/>
    <s v="Office 365: 2240920005"/>
    <n v="179.66"/>
    <s v="Account-ArgosMob"/>
    <m/>
  </r>
  <r>
    <n v="37"/>
    <d v="2025-09-22T00:00:00"/>
    <s v="Monday"/>
    <x v="1"/>
    <s v="Maid-618"/>
    <m/>
    <n v="1000"/>
    <s v="Chandan"/>
    <m/>
  </r>
  <r>
    <n v="38"/>
    <d v="2025-09-22T00:00:00"/>
    <s v="Monday"/>
    <x v="8"/>
    <m/>
    <s v="Paid to Argomsob for rent"/>
    <n v="20000"/>
    <s v="Chandan"/>
    <m/>
  </r>
  <r>
    <n v="39"/>
    <d v="2025-09-22T00:00:00"/>
    <s v="Monday"/>
    <x v="8"/>
    <m/>
    <s v="Received from Chandan"/>
    <n v="-20000"/>
    <s v="Account-ArgosMob"/>
    <m/>
  </r>
  <r>
    <n v="40"/>
    <d v="2025-09-22T00:00:00"/>
    <s v="Monday"/>
    <x v="7"/>
    <s v="Rent"/>
    <s v="Paid to Alok for rent 618"/>
    <n v="32000"/>
    <s v="Account-ArgosMob"/>
    <m/>
  </r>
  <r>
    <n v="41"/>
    <d v="2025-09-23T00:00:00"/>
    <s v="Tuesday"/>
    <x v="0"/>
    <s v="FB Ads"/>
    <s v="FB Budget : 265425466458147"/>
    <n v="20000"/>
    <s v="Chandan"/>
    <m/>
  </r>
  <r>
    <n v="42"/>
    <d v="2025-09-24T00:00:00"/>
    <s v="Wednesday"/>
    <x v="1"/>
    <s v="Electricity"/>
    <s v="Office 618"/>
    <n v="2000"/>
    <s v="Chandan"/>
    <m/>
  </r>
  <r>
    <n v="43"/>
    <d v="2025-09-24T00:00:00"/>
    <s v="Wednesday"/>
    <x v="1"/>
    <s v="Fun"/>
    <s v="Paid for Pool"/>
    <n v="230"/>
    <s v="Krishna"/>
    <m/>
  </r>
  <r>
    <n v="44"/>
    <d v="2025-09-24T00:00:00"/>
    <s v="Wednesday"/>
    <x v="1"/>
    <s v="Faluda"/>
    <m/>
    <n v="180"/>
    <s v="Rishabh"/>
    <m/>
  </r>
  <r>
    <n v="45"/>
    <d v="2025-09-25T00:00:00"/>
    <s v="Thursday"/>
    <x v="1"/>
    <s v="Chai/Coffee"/>
    <m/>
    <n v="240"/>
    <s v="Krishna"/>
    <m/>
  </r>
  <r>
    <n v="46"/>
    <d v="2025-09-25T00:00:00"/>
    <s v="Thursday"/>
    <x v="1"/>
    <s v="Chai/Coffee"/>
    <m/>
    <n v="45"/>
    <s v="Rishabh"/>
    <m/>
  </r>
  <r>
    <n v="47"/>
    <d v="2025-09-25T00:00:00"/>
    <s v="Thursday"/>
    <x v="1"/>
    <s v="Coffee/Lemonade"/>
    <m/>
    <n v="480"/>
    <s v="Rishabh"/>
    <m/>
  </r>
  <r>
    <n v="48"/>
    <d v="2025-09-29T00:00:00"/>
    <s v="Monday"/>
    <x v="1"/>
    <s v="Bowling"/>
    <m/>
    <n v="1000"/>
    <s v="Krishna"/>
    <m/>
  </r>
  <r>
    <n v="49"/>
    <d v="2025-09-30T00:00:00"/>
    <s v="Tuesday"/>
    <x v="1"/>
    <s v="Fun"/>
    <s v="Paid for Pool"/>
    <n v="210"/>
    <s v="Krishna"/>
    <m/>
  </r>
  <r>
    <n v="50"/>
    <d v="2025-10-01T00:00:00"/>
    <s v="Wednesday"/>
    <x v="1"/>
    <m/>
    <s v="Cartridge Refill"/>
    <n v="450"/>
    <s v="Rishabh"/>
    <m/>
  </r>
  <r>
    <n v="51"/>
    <d v="2025-10-01T00:00:00"/>
    <s v="Wednesday"/>
    <x v="1"/>
    <m/>
    <s v="Tea"/>
    <n v="965"/>
    <s v="Rishabh"/>
    <m/>
  </r>
  <r>
    <n v="52"/>
    <d v="2025-10-01T00:00:00"/>
    <s v="Wednesday"/>
    <x v="9"/>
    <m/>
    <s v="Dosa"/>
    <n v="480"/>
    <s v="Chandan"/>
    <m/>
  </r>
  <r>
    <n v="53"/>
    <d v="2025-10-01T00:00:00"/>
    <s v="Wednesday"/>
    <x v="9"/>
    <m/>
    <s v="Ice cream/Coffee"/>
    <n v="320"/>
    <s v="Rishabh"/>
    <m/>
  </r>
  <r>
    <n v="54"/>
    <d v="2025-10-06T00:00:00"/>
    <s v="Monday"/>
    <x v="1"/>
    <s v="Fun"/>
    <s v="Paid for Pool"/>
    <n v="238"/>
    <s v="Krishna"/>
    <m/>
  </r>
  <r>
    <n v="55"/>
    <d v="2025-10-06T00:00:00"/>
    <s v="Monday"/>
    <x v="0"/>
    <s v="FB Ads"/>
    <s v="Paid to Chandan for FB Budget"/>
    <n v="20000"/>
    <s v="Account-ArgosMob"/>
    <m/>
  </r>
  <r>
    <n v="56"/>
    <d v="2025-10-06T00:00:00"/>
    <s v="Monday"/>
    <x v="0"/>
    <s v="FB Ads"/>
    <s v="FB Budget : 265425466458147"/>
    <n v="-20000"/>
    <s v="Chandan"/>
    <m/>
  </r>
  <r>
    <n v="57"/>
    <d v="2025-10-06T00:00:00"/>
    <s v="Monday"/>
    <x v="0"/>
    <s v="FB Ads"/>
    <s v="FB Budget : 265425466458147"/>
    <n v="20000"/>
    <s v="Chandan"/>
    <m/>
  </r>
  <r>
    <n v="58"/>
    <d v="2025-10-07T00:00:00"/>
    <s v="Tuesday"/>
    <x v="10"/>
    <s v="Salary"/>
    <s v="Self Withdrawl for Salary"/>
    <n v="-80000"/>
    <s v="Vansh"/>
    <m/>
  </r>
  <r>
    <n v="59"/>
    <d v="2025-10-07T00:00:00"/>
    <s v="Tuesday"/>
    <x v="10"/>
    <s v="Salary"/>
    <s v="Paid to Vansh for Salary"/>
    <n v="80000"/>
    <s v="Account-ArgosMob"/>
    <m/>
  </r>
  <r>
    <n v="60"/>
    <d v="2025-10-07T00:00:00"/>
    <s v="Tuesday"/>
    <x v="10"/>
    <s v="Salary"/>
    <s v="Self Funding for Salary"/>
    <n v="61500"/>
    <s v="Vansh"/>
    <m/>
  </r>
  <r>
    <n v="61"/>
    <d v="2025-10-07T00:00:00"/>
    <s v="Tuesday"/>
    <x v="10"/>
    <s v="Salary"/>
    <s v="Received from Vansh for Salary"/>
    <n v="-61500"/>
    <s v="Account-KiloWatt"/>
    <m/>
  </r>
  <r>
    <n v="62"/>
    <d v="2025-10-07T00:00:00"/>
    <s v="Tuesday"/>
    <x v="10"/>
    <s v="Salary"/>
    <s v="Self Funding for Salary"/>
    <n v="18500"/>
    <s v="Vansh"/>
    <m/>
  </r>
  <r>
    <n v="63"/>
    <d v="2025-10-07T00:00:00"/>
    <s v="Tuesday"/>
    <x v="10"/>
    <s v="Salary"/>
    <s v="Received from Vansh for Salary"/>
    <n v="-18500"/>
    <s v="Account-ArgosMob"/>
    <m/>
  </r>
  <r>
    <n v="64"/>
    <d v="2025-10-07T00:00:00"/>
    <s v="Tuesday"/>
    <x v="5"/>
    <s v="Salary"/>
    <s v="Sept-25 - Parul"/>
    <n v="31499.999999999996"/>
    <s v="Account-KiloWatt"/>
    <m/>
  </r>
  <r>
    <n v="65"/>
    <d v="2025-10-07T00:00:00"/>
    <s v="Tuesday"/>
    <x v="5"/>
    <s v="Salary"/>
    <s v="Sept-25 - Prachi Lohani"/>
    <n v="30000"/>
    <s v="Account-KiloWatt"/>
    <m/>
  </r>
  <r>
    <n v="66"/>
    <d v="2025-10-07T00:00:00"/>
    <s v="Tuesday"/>
    <x v="5"/>
    <s v="Salary"/>
    <s v="Sept-25 - Dev"/>
    <n v="40000"/>
    <s v="Account-ArgosMob"/>
    <m/>
  </r>
  <r>
    <n v="67"/>
    <d v="2025-10-07T00:00:00"/>
    <s v="Tuesday"/>
    <x v="5"/>
    <s v="Salary"/>
    <s v="Sept-25 - Piyush"/>
    <n v="20000"/>
    <s v="Account-ArgosMob"/>
    <m/>
  </r>
  <r>
    <n v="68"/>
    <d v="2025-10-07T00:00:00"/>
    <s v="Tuesday"/>
    <x v="5"/>
    <s v="Salary"/>
    <s v="Sept-25 - Karan"/>
    <n v="8000"/>
    <s v="Account-ArgosMob"/>
    <m/>
  </r>
  <r>
    <n v="69"/>
    <d v="2025-10-07T00:00:00"/>
    <s v="Tuesday"/>
    <x v="5"/>
    <s v="Salary"/>
    <s v="Sept-25 - Gauri"/>
    <n v="6000"/>
    <s v="Account-ArgosMob"/>
    <m/>
  </r>
  <r>
    <n v="70"/>
    <d v="2025-10-07T00:00:00"/>
    <s v="Tuesday"/>
    <x v="5"/>
    <s v="Salary"/>
    <s v="Sept-25 - Inayat"/>
    <n v="20000"/>
    <s v="Account-ArgosMob"/>
    <m/>
  </r>
  <r>
    <n v="71"/>
    <d v="2025-10-07T00:00:00"/>
    <s v="Tuesday"/>
    <x v="11"/>
    <m/>
    <s v="Self Withdrawl for Electricity"/>
    <n v="5000"/>
    <s v="Account-ArgosMob"/>
    <m/>
  </r>
  <r>
    <n v="72"/>
    <d v="2025-10-07T00:00:00"/>
    <s v="Tuesday"/>
    <x v="1"/>
    <m/>
    <s v="Received for Electricity"/>
    <n v="-5000"/>
    <s v="Chandan"/>
    <m/>
  </r>
  <r>
    <n v="73"/>
    <d v="2025-10-07T00:00:00"/>
    <s v="Tuesday"/>
    <x v="10"/>
    <s v="Electricity"/>
    <s v="Paid for electricity"/>
    <n v="5000"/>
    <s v="Chandan"/>
    <m/>
  </r>
  <r>
    <n v="74"/>
    <d v="2025-10-07T00:00:00"/>
    <s v="Tuesday"/>
    <x v="1"/>
    <s v="Fun"/>
    <s v="Paid for Pool"/>
    <n v="248"/>
    <s v="Krishna"/>
    <m/>
  </r>
  <r>
    <n v="75"/>
    <d v="2025-10-08T00:00:00"/>
    <s v="Wednesday"/>
    <x v="1"/>
    <s v="Maid-1003"/>
    <s v="Paid to maid-1003"/>
    <n v="1200"/>
    <s v="Chandan"/>
    <m/>
  </r>
  <r>
    <n v="76"/>
    <d v="2025-10-10T00:00:00"/>
    <s v="Friday"/>
    <x v="1"/>
    <m/>
    <s v="Paid for Diwali Event"/>
    <n v="2000"/>
    <s v="Account-ArgosMob"/>
    <m/>
  </r>
  <r>
    <n v="77"/>
    <d v="2025-10-13T00:00:00"/>
    <s v="Monday"/>
    <x v="1"/>
    <m/>
    <s v="Windfall Income"/>
    <n v="-200"/>
    <s v="Krishna"/>
    <m/>
  </r>
  <r>
    <n v="78"/>
    <d v="2025-10-13T00:00:00"/>
    <s v="Monday"/>
    <x v="1"/>
    <m/>
    <s v="For Lock"/>
    <n v="1500"/>
    <s v="Cash"/>
    <m/>
  </r>
  <r>
    <n v="79"/>
    <d v="2025-10-13T00:00:00"/>
    <s v="Monday"/>
    <x v="11"/>
    <m/>
    <s v="Self withdrawal-Vansh"/>
    <n v="-10000"/>
    <s v="Vansh"/>
    <m/>
  </r>
  <r>
    <n v="80"/>
    <d v="2025-10-13T00:00:00"/>
    <s v="Monday"/>
    <x v="11"/>
    <m/>
    <s v="For self withdrawl"/>
    <n v="10000"/>
    <s v="Account-ArgosMob"/>
    <m/>
  </r>
  <r>
    <n v="81"/>
    <d v="2025-10-13T00:00:00"/>
    <s v="Monday"/>
    <x v="1"/>
    <m/>
    <s v="Paid for water"/>
    <n v="440"/>
    <s v="Chandan"/>
    <m/>
  </r>
  <r>
    <n v="82"/>
    <d v="2025-10-13T00:00:00"/>
    <s v="Monday"/>
    <x v="1"/>
    <m/>
    <s v="For team evening lunch"/>
    <n v="1000"/>
    <s v="Cash"/>
    <m/>
  </r>
  <r>
    <n v="83"/>
    <d v="2025-10-13T00:00:00"/>
    <s v="Monday"/>
    <x v="1"/>
    <s v="Fun"/>
    <s v="Paid for Pool"/>
    <n v="210"/>
    <s v="Krishna"/>
    <m/>
  </r>
  <r>
    <n v="84"/>
    <d v="2025-10-13T00:00:00"/>
    <s v="Monday"/>
    <x v="1"/>
    <m/>
    <s v="For team evening lunch"/>
    <n v="100"/>
    <s v="Krishna"/>
    <m/>
  </r>
  <r>
    <n v="85"/>
    <d v="2025-10-14T00:00:00"/>
    <s v="Tuesday"/>
    <x v="10"/>
    <s v="Salary"/>
    <s v="Sept-25 - Abdulla"/>
    <n v="10000"/>
    <s v="Account-ArgosMob"/>
    <m/>
  </r>
  <r>
    <n v="86"/>
    <d v="2025-10-14T00:00:00"/>
    <s v="Tuesday"/>
    <x v="1"/>
    <m/>
    <s v="For Diwali-Dmart"/>
    <n v="7500"/>
    <s v="Cash"/>
    <m/>
  </r>
  <r>
    <n v="87"/>
    <d v="2025-10-14T00:00:00"/>
    <s v="Tuesday"/>
    <x v="12"/>
    <m/>
    <s v="Paid to Anthony"/>
    <n v="5000"/>
    <s v="Account-ArgosMob"/>
    <m/>
  </r>
  <r>
    <n v="88"/>
    <d v="2025-10-14T00:00:00"/>
    <s v="Tuesday"/>
    <x v="1"/>
    <m/>
    <s v="Blinkit"/>
    <n v="299"/>
    <s v="Rishabh"/>
    <m/>
  </r>
  <r>
    <n v="89"/>
    <d v="2025-10-15T00:00:00"/>
    <s v="Wednesday"/>
    <x v="1"/>
    <m/>
    <s v="For Printer Catridge"/>
    <n v="745"/>
    <s v="Chandan"/>
    <m/>
  </r>
  <r>
    <n v="90"/>
    <d v="2025-10-15T00:00:00"/>
    <s v="Wednesday"/>
    <x v="1"/>
    <m/>
    <s v="For Stamp-Parul Client"/>
    <n v="160"/>
    <s v="Chandan"/>
    <m/>
  </r>
  <r>
    <n v="91"/>
    <d v="2025-10-15T00:00:00"/>
    <s v="Wednesday"/>
    <x v="7"/>
    <s v="Rent"/>
    <s v="Paid to Alok for rent 618"/>
    <n v="32000"/>
    <s v="Account-ArgosMob"/>
    <m/>
  </r>
  <r>
    <n v="92"/>
    <d v="2025-10-15T00:00:00"/>
    <s v="Wednesday"/>
    <x v="11"/>
    <m/>
    <s v="Self Withdrawl for Diwali Purchase"/>
    <n v="-3000"/>
    <s v="Rishabh"/>
    <m/>
  </r>
  <r>
    <n v="93"/>
    <d v="2025-10-15T00:00:00"/>
    <s v="Wednesday"/>
    <x v="11"/>
    <m/>
    <s v="Self Withdrawl for Diwali Purchase"/>
    <n v="3000"/>
    <s v="Account-ArgosMob"/>
    <m/>
  </r>
  <r>
    <n v="94"/>
    <d v="2025-10-15T00:00:00"/>
    <s v="Wednesday"/>
    <x v="1"/>
    <m/>
    <s v="Paid for Diwali Purchase"/>
    <n v="2680"/>
    <s v="Rishabh"/>
    <m/>
  </r>
  <r>
    <n v="95"/>
    <d v="2025-10-15T00:00:00"/>
    <s v="Wednesday"/>
    <x v="7"/>
    <m/>
    <s v="Paid for Mobile-Airtel"/>
    <n v="1115"/>
    <s v="Rishabh"/>
    <m/>
  </r>
  <r>
    <n v="96"/>
    <d v="2025-10-16T00:00:00"/>
    <s v="Thursday"/>
    <x v="11"/>
    <m/>
    <s v="Self Withdrawl for wifi"/>
    <n v="-2000"/>
    <s v="Rishabh"/>
    <m/>
  </r>
  <r>
    <n v="97"/>
    <d v="2025-10-16T00:00:00"/>
    <s v="Thursday"/>
    <x v="11"/>
    <m/>
    <s v="Self Withdrawl for wifi"/>
    <n v="2000"/>
    <s v="Account-ArgosMob"/>
    <m/>
  </r>
  <r>
    <n v="98"/>
    <d v="2025-10-16T00:00:00"/>
    <s v="Thursday"/>
    <x v="1"/>
    <m/>
    <s v="WIFI Recharge"/>
    <n v="1178"/>
    <s v="Rishabh"/>
    <m/>
  </r>
  <r>
    <n v="99"/>
    <d v="2025-10-16T00:00:00"/>
    <s v="Thursday"/>
    <x v="1"/>
    <s v="Team Engagaement"/>
    <s v="Box Cricket Booking"/>
    <n v="500"/>
    <s v="Chandan"/>
    <m/>
  </r>
  <r>
    <n v="100"/>
    <d v="2025-10-16T00:00:00"/>
    <s v="Thursday"/>
    <x v="1"/>
    <m/>
    <s v="Scissor/Tape"/>
    <n v="90"/>
    <s v="Rishabh"/>
    <m/>
  </r>
  <r>
    <n v="101"/>
    <d v="2025-10-16T00:00:00"/>
    <s v="Thursday"/>
    <x v="1"/>
    <m/>
    <s v="Lahori Jeera"/>
    <n v="261"/>
    <s v="Rishabh"/>
    <m/>
  </r>
  <r>
    <n v="102"/>
    <d v="2025-10-16T00:00:00"/>
    <s v="Thursday"/>
    <x v="1"/>
    <s v="Food"/>
    <s v="Paid for Food (1 sept to 30th sept)"/>
    <n v="1470"/>
    <s v="Vansh"/>
    <m/>
  </r>
  <r>
    <n v="103"/>
    <d v="2025-10-17T00:00:00"/>
    <s v="Friday"/>
    <x v="9"/>
    <s v="Team Engagaement"/>
    <s v="Paid for Box Cricket"/>
    <n v="1000"/>
    <s v="Chandan"/>
    <m/>
  </r>
  <r>
    <n v="104"/>
    <d v="2025-10-17T00:00:00"/>
    <s v="Friday"/>
    <x v="9"/>
    <s v="Team Engagaement"/>
    <s v="Paid for bowling recharge"/>
    <n v="1000"/>
    <s v="Chandan"/>
    <m/>
  </r>
  <r>
    <n v="105"/>
    <d v="2025-10-17T00:00:00"/>
    <s v="Friday"/>
    <x v="9"/>
    <s v="Team Engagaement"/>
    <s v="Paid to Aunty(Diwali)"/>
    <n v="2000"/>
    <s v="Cash"/>
    <m/>
  </r>
  <r>
    <n v="106"/>
    <d v="2025-10-17T00:00:00"/>
    <s v="Friday"/>
    <x v="9"/>
    <s v="Team Engagaement"/>
    <s v="Paid to Baru Resturant"/>
    <n v="2450"/>
    <s v="Cash"/>
    <m/>
  </r>
  <r>
    <n v="107"/>
    <d v="2025-10-17T00:00:00"/>
    <s v="Friday"/>
    <x v="9"/>
    <s v="Fun"/>
    <s v="Paid for Pool"/>
    <n v="311"/>
    <s v="Rishabh"/>
    <m/>
  </r>
  <r>
    <n v="108"/>
    <d v="2025-10-17T00:00:00"/>
    <s v="Friday"/>
    <x v="11"/>
    <m/>
    <s v="Self Withdrawl"/>
    <n v="-46329.834999999999"/>
    <s v="Chandan"/>
    <m/>
  </r>
  <r>
    <n v="109"/>
    <d v="2025-10-17T00:00:00"/>
    <s v="Friday"/>
    <x v="11"/>
    <m/>
    <s v="Self Withdrawl"/>
    <n v="-30209.834999999992"/>
    <s v="Krishna"/>
    <m/>
  </r>
  <r>
    <n v="110"/>
    <d v="2025-10-17T00:00:00"/>
    <s v="Friday"/>
    <x v="11"/>
    <m/>
    <s v="Self Withdrawl"/>
    <n v="-29027.834999999992"/>
    <s v="Rishabh"/>
    <m/>
  </r>
  <r>
    <n v="111"/>
    <d v="2025-10-17T00:00:00"/>
    <s v="Friday"/>
    <x v="11"/>
    <m/>
    <s v="Self Withdrawl"/>
    <n v="-15252.834999999992"/>
    <s v="Vansh"/>
    <m/>
  </r>
  <r>
    <n v="112"/>
    <d v="2025-10-17T00:00:00"/>
    <s v="Friday"/>
    <x v="11"/>
    <m/>
    <s v="For self withdrawl-All promotors"/>
    <n v="120820.34"/>
    <s v="Account-ArgosMob"/>
    <m/>
  </r>
  <r>
    <n v="113"/>
    <d v="2025-10-21T00:00:00"/>
    <s v="Tuesday"/>
    <x v="7"/>
    <m/>
    <s v="Office 365: G119341999"/>
    <n v="179.66"/>
    <s v="Account-ArgosMob"/>
    <m/>
  </r>
  <r>
    <n v="114"/>
    <d v="2025-10-24T00:00:00"/>
    <s v="Friday"/>
    <x v="0"/>
    <s v="FB Ads"/>
    <s v="FB Budget : 265425466458147"/>
    <n v="20000"/>
    <s v="Chandan"/>
    <m/>
  </r>
  <r>
    <n v="115"/>
    <d v="2025-10-24T00:00:00"/>
    <s v="Friday"/>
    <x v="9"/>
    <m/>
    <s v="Goa Flight tickets"/>
    <n v="39033.360000000001"/>
    <s v="Chandan"/>
    <m/>
  </r>
  <r>
    <n v="116"/>
    <d v="2025-10-25T00:00:00"/>
    <s v="Saturday"/>
    <x v="13"/>
    <m/>
    <s v="Paid for Makroo - DLT"/>
    <n v="5900"/>
    <s v="Chandan"/>
    <m/>
  </r>
  <r>
    <n v="117"/>
    <d v="2025-10-25T00:00:00"/>
    <s v="Saturday"/>
    <x v="11"/>
    <m/>
    <s v="Received for Makroo DLT"/>
    <n v="-5231.96"/>
    <s v="Chandan"/>
    <m/>
  </r>
  <r>
    <n v="117"/>
    <d v="2025-10-25T00:00:00"/>
    <s v="Saturday"/>
    <x v="11"/>
    <m/>
    <s v="Self withdrawl for Makroo - DLT"/>
    <n v="5231.96"/>
    <s v="Account-ArgosMob"/>
    <m/>
  </r>
  <r>
    <n v="118"/>
    <d v="2025-10-27T00:00:00"/>
    <s v="Monday"/>
    <x v="14"/>
    <m/>
    <s v="CHAT GPT Premium"/>
    <n v="2000"/>
    <s v="Vansh"/>
    <m/>
  </r>
  <r>
    <n v="119"/>
    <d v="2025-10-27T00:00:00"/>
    <s v="Monday"/>
    <x v="14"/>
    <m/>
    <s v="Cake- Parul"/>
    <n v="475"/>
    <s v="Krishna"/>
    <m/>
  </r>
  <r>
    <n v="120"/>
    <d v="2025-10-28T00:00:00"/>
    <s v="Tuesday"/>
    <x v="13"/>
    <m/>
    <s v="Dinner with Dr Chaddha"/>
    <n v="7878"/>
    <s v="Cash"/>
    <m/>
  </r>
  <r>
    <n v="121"/>
    <d v="2025-10-30T00:00:00"/>
    <s v="Thursday"/>
    <x v="1"/>
    <m/>
    <s v="Pool"/>
    <n v="231"/>
    <s v="Krishna"/>
    <m/>
  </r>
  <r>
    <n v="122"/>
    <d v="2025-10-31T00:00:00"/>
    <s v="Friday"/>
    <x v="1"/>
    <m/>
    <s v="Pool"/>
    <n v="189"/>
    <s v="Krishna"/>
    <m/>
  </r>
  <r>
    <n v="123"/>
    <d v="2025-10-31T00:00:00"/>
    <s v="Friday"/>
    <x v="11"/>
    <m/>
    <s v="for snacks"/>
    <n v="-2000"/>
    <s v="Rishabh"/>
    <m/>
  </r>
  <r>
    <n v="124"/>
    <d v="2025-10-31T00:00:00"/>
    <s v="Friday"/>
    <x v="11"/>
    <m/>
    <s v="self withdrawl for snacks"/>
    <n v="2000"/>
    <s v="Account-ArgosMob"/>
    <m/>
  </r>
  <r>
    <n v="125"/>
    <d v="2025-10-31T00:00:00"/>
    <s v="Friday"/>
    <x v="1"/>
    <m/>
    <s v="paid for snacks"/>
    <n v="2585"/>
    <s v="Cash"/>
    <m/>
  </r>
  <r>
    <n v="126"/>
    <d v="2025-11-03T00:00:00"/>
    <s v="Monday"/>
    <x v="9"/>
    <m/>
    <s v="Piad for pool"/>
    <n v="340"/>
    <s v="Krishna"/>
    <m/>
  </r>
  <r>
    <n v="127"/>
    <d v="2025-11-04T00:00:00"/>
    <s v="Tuesday"/>
    <x v="0"/>
    <s v="FB Ads"/>
    <s v="FB Budget : 265425466458147"/>
    <n v="10000"/>
    <s v="Account-ArgosMob"/>
    <m/>
  </r>
  <r>
    <n v="128"/>
    <d v="2025-11-05T00:00:00"/>
    <s v="Wednesday"/>
    <x v="9"/>
    <m/>
    <s v="Piad for pool"/>
    <n v="287"/>
    <s v="Krishna"/>
    <m/>
  </r>
  <r>
    <n v="129"/>
    <d v="2025-11-06T00:00:00"/>
    <s v="Thursday"/>
    <x v="9"/>
    <m/>
    <s v="Piad for pool"/>
    <n v="368"/>
    <s v="Krishna"/>
    <m/>
  </r>
  <r>
    <n v="130"/>
    <d v="2025-11-06T00:00:00"/>
    <s v="Thursday"/>
    <x v="1"/>
    <m/>
    <s v="Coffee sachet"/>
    <n v="260"/>
    <s v="Chandan"/>
    <m/>
  </r>
  <r>
    <n v="131"/>
    <d v="2025-11-07T00:00:00"/>
    <s v="Friday"/>
    <x v="15"/>
    <m/>
    <s v="Paid to Kilowat"/>
    <n v="71500"/>
    <s v="Account-ArgosMob"/>
    <m/>
  </r>
  <r>
    <n v="132"/>
    <d v="2025-11-07T00:00:00"/>
    <s v="Friday"/>
    <x v="15"/>
    <m/>
    <s v="Received from Argosmob"/>
    <n v="-71500"/>
    <s v="Account-KiloWatt"/>
    <m/>
  </r>
  <r>
    <n v="133"/>
    <d v="2025-11-07T00:00:00"/>
    <s v="Friday"/>
    <x v="11"/>
    <m/>
    <s v="Self withdrawl"/>
    <n v="-10000"/>
    <s v="Rishabh"/>
    <m/>
  </r>
  <r>
    <n v="134"/>
    <d v="2025-11-07T00:00:00"/>
    <s v="Friday"/>
    <x v="11"/>
    <m/>
    <s v="Paid to rishab for self withdrawl"/>
    <n v="10000"/>
    <s v="Account-ArgosMob"/>
    <m/>
  </r>
  <r>
    <n v="135"/>
    <d v="2025-11-07T00:00:00"/>
    <s v="Friday"/>
    <x v="5"/>
    <m/>
    <s v="Oct-25-Parul"/>
    <n v="46500"/>
    <s v="Account-KiloWatt"/>
    <m/>
  </r>
  <r>
    <n v="136"/>
    <d v="2025-11-07T00:00:00"/>
    <s v="Friday"/>
    <x v="5"/>
    <m/>
    <s v="Oct-25-Prachi"/>
    <n v="25000"/>
    <s v="Account-KiloWatt"/>
    <m/>
  </r>
  <r>
    <n v="137"/>
    <d v="2025-11-07T00:00:00"/>
    <s v="Friday"/>
    <x v="9"/>
    <s v="Pool"/>
    <s v="Paid for pool"/>
    <n v="182"/>
    <s v="Rishabh"/>
    <m/>
  </r>
  <r>
    <n v="138"/>
    <d v="2025-11-10T00:00:00"/>
    <s v="Monday"/>
    <x v="0"/>
    <s v="FB Ads"/>
    <s v="FB Budget : 265425466458147"/>
    <n v="10000"/>
    <s v="Account-ArgosMob"/>
    <m/>
  </r>
  <r>
    <n v="139"/>
    <d v="2025-11-10T00:00:00"/>
    <s v="Monday"/>
    <x v="9"/>
    <m/>
    <s v="Payout to Chandan for GOA hotel"/>
    <n v="21437.599999999999"/>
    <s v="Account-ArgosMob"/>
    <m/>
  </r>
  <r>
    <n v="140"/>
    <d v="2025-11-10T00:00:00"/>
    <s v="Monday"/>
    <x v="11"/>
    <m/>
    <s v="Taken payout for Goa hotel"/>
    <n v="-21437.599999999999"/>
    <s v="Chandan"/>
    <m/>
  </r>
  <r>
    <n v="141"/>
    <d v="2025-11-10T00:00:00"/>
    <s v="Monday"/>
    <x v="1"/>
    <m/>
    <s v="Water Bill"/>
    <n v="440"/>
    <s v="Rishabh"/>
    <m/>
  </r>
  <r>
    <n v="142"/>
    <d v="2025-11-10T00:00:00"/>
    <s v="Monday"/>
    <x v="9"/>
    <m/>
    <s v="Paid for Pool"/>
    <n v="210"/>
    <s v="Chandan"/>
    <m/>
  </r>
  <r>
    <n v="143"/>
    <d v="2025-11-10T00:00:00"/>
    <s v="Monday"/>
    <x v="11"/>
    <m/>
    <s v="Self withdrawl Vansh"/>
    <n v="-5000"/>
    <s v="Vansh"/>
    <m/>
  </r>
  <r>
    <n v="144"/>
    <d v="2025-11-10T00:00:00"/>
    <s v="Monday"/>
    <x v="11"/>
    <m/>
    <s v="Self withdrawl for Vansh"/>
    <n v="5000"/>
    <s v="Account-ArgosMob"/>
    <m/>
  </r>
  <r>
    <n v="145"/>
    <d v="2025-11-11T00:00:00"/>
    <s v="Tuesday"/>
    <x v="5"/>
    <m/>
    <s v="Oct-25-Inayat"/>
    <n v="20000"/>
    <s v="Account-ArgosMob"/>
    <m/>
  </r>
  <r>
    <n v="146"/>
    <d v="2025-11-11T00:00:00"/>
    <s v="Tuesday"/>
    <x v="5"/>
    <m/>
    <s v="Oct-25-Karan"/>
    <n v="8000"/>
    <s v="Account-ArgosMob"/>
    <m/>
  </r>
  <r>
    <n v="147"/>
    <d v="2025-11-11T00:00:00"/>
    <s v="Tuesday"/>
    <x v="5"/>
    <m/>
    <s v="Oct-25-Gauri Pandey"/>
    <n v="6000"/>
    <s v="Account-ArgosMob"/>
    <m/>
  </r>
  <r>
    <n v="148"/>
    <d v="2025-11-11T00:00:00"/>
    <s v="Tuesday"/>
    <x v="8"/>
    <m/>
    <s v="Self Funding for Salary"/>
    <n v="49000"/>
    <s v="Chandan"/>
    <m/>
  </r>
  <r>
    <n v="149"/>
    <d v="2025-11-11T00:00:00"/>
    <s v="Tuesday"/>
    <x v="8"/>
    <m/>
    <s v="Self Funding for Salary"/>
    <n v="-49000"/>
    <s v="Account-ArgosMob"/>
    <m/>
  </r>
  <r>
    <n v="150"/>
    <d v="2025-11-11T00:00:00"/>
    <s v="Tuesday"/>
    <x v="5"/>
    <m/>
    <s v="FNF- Abdullah"/>
    <n v="15000"/>
    <s v="Account-ArgosMob"/>
    <m/>
  </r>
  <r>
    <n v="151"/>
    <d v="2025-11-13T00:00:00"/>
    <s v="Thursday"/>
    <x v="1"/>
    <m/>
    <s v="Electricity"/>
    <n v="5000"/>
    <s v="Chandan"/>
    <m/>
  </r>
  <r>
    <n v="152"/>
    <d v="2025-11-13T00:00:00"/>
    <s v="Thursday"/>
    <x v="1"/>
    <m/>
    <s v="Phone recharge"/>
    <n v="1587.49"/>
    <s v="Chandan"/>
    <m/>
  </r>
  <r>
    <n v="153"/>
    <d v="2025-11-13T00:00:00"/>
    <s v="Thursday"/>
    <x v="0"/>
    <s v="FB Ads"/>
    <s v="FB Budget : 265425466458147"/>
    <n v="10000"/>
    <s v="Chandan"/>
    <m/>
  </r>
  <r>
    <n v="154"/>
    <d v="2025-11-13T00:00:00"/>
    <s v="Thursday"/>
    <x v="9"/>
    <m/>
    <s v="Pool"/>
    <n v="248"/>
    <s v="Chandan"/>
    <m/>
  </r>
  <r>
    <n v="155"/>
    <d v="2025-11-14T00:00:00"/>
    <s v="Friday"/>
    <x v="1"/>
    <m/>
    <s v="Chocolates"/>
    <n v="210"/>
    <s v="Rishabh"/>
    <m/>
  </r>
  <r>
    <n v="156"/>
    <d v="2025-11-14T00:00:00"/>
    <s v="Friday"/>
    <x v="9"/>
    <m/>
    <s v="Pool"/>
    <n v="154"/>
    <s v="Chandan"/>
    <m/>
  </r>
  <r>
    <n v="157"/>
    <d v="2025-11-15T00:00:00"/>
    <s v="Saturday"/>
    <x v="5"/>
    <m/>
    <s v="Oct-25-Dev"/>
    <n v="40000"/>
    <s v="Account-ArgosMob"/>
    <m/>
  </r>
  <r>
    <n v="158"/>
    <d v="2025-11-17T00:00:00"/>
    <s v="Monday"/>
    <x v="1"/>
    <m/>
    <s v="WIFI Recharge"/>
    <n v="1178"/>
    <s v="Rishabh"/>
    <m/>
  </r>
  <r>
    <n v="159"/>
    <d v="2025-11-17T00:00:00"/>
    <s v="Monday"/>
    <x v="11"/>
    <m/>
    <s v="Paid to rishab for wifi recharge"/>
    <n v="1200"/>
    <s v="Account-ArgosMob"/>
    <m/>
  </r>
  <r>
    <n v="160"/>
    <d v="2025-11-17T00:00:00"/>
    <s v="Monday"/>
    <x v="11"/>
    <m/>
    <s v="Received for Wifi recharge-Rishab"/>
    <n v="-1200"/>
    <s v="Rishabh"/>
    <m/>
  </r>
  <r>
    <n v="161"/>
    <d v="2025-11-17T00:00:00"/>
    <s v="Monday"/>
    <x v="5"/>
    <m/>
    <s v="Oct-25-Piyush Gaur"/>
    <n v="20000"/>
    <s v="Account-ArgosMob"/>
    <m/>
  </r>
  <r>
    <n v="162"/>
    <d v="2025-11-17T00:00:00"/>
    <s v="Monday"/>
    <x v="7"/>
    <m/>
    <s v="Rent-Oct"/>
    <n v="32000"/>
    <s v="Account-ArgosMob"/>
    <m/>
  </r>
  <r>
    <n v="163"/>
    <d v="2025-11-17T00:00:00"/>
    <s v="Monday"/>
    <x v="11"/>
    <m/>
    <s v="Paid to Chandan, self withdrawl for salary funding"/>
    <n v="49000"/>
    <s v="Account-ArgosMob"/>
    <m/>
  </r>
  <r>
    <n v="164"/>
    <d v="2025-11-17T00:00:00"/>
    <s v="Monday"/>
    <x v="11"/>
    <m/>
    <s v="Received self withdrawl for salary funding"/>
    <n v="-49000"/>
    <s v="Chandan"/>
    <m/>
  </r>
  <r>
    <n v="165"/>
    <d v="2025-11-18T00:00:00"/>
    <s v="Tuesday"/>
    <x v="0"/>
    <s v="FB Ads"/>
    <s v="FB Budget : 265425466458147"/>
    <n v="20000"/>
    <s v="Account-ArgosMob"/>
    <m/>
  </r>
  <r>
    <n v="166"/>
    <d v="2025-11-19T00:00:00"/>
    <s v="Wednesday"/>
    <x v="15"/>
    <m/>
    <s v="Paid to Kilowat for Marketing teams Commisions"/>
    <n v="21250"/>
    <s v="Account-ArgosMob"/>
    <m/>
  </r>
  <r>
    <n v="167"/>
    <d v="2025-11-19T00:00:00"/>
    <s v="Wednesday"/>
    <x v="15"/>
    <m/>
    <s v="Received from Argosmob for Marketing teams Commisions"/>
    <n v="-21250"/>
    <s v="Account-KiloWatt"/>
    <m/>
  </r>
  <r>
    <n v="168"/>
    <d v="2025-11-19T00:00:00"/>
    <s v="Wednesday"/>
    <x v="11"/>
    <m/>
    <s v="Self Withdrawl"/>
    <n v="-20338.89"/>
    <s v="Chandan"/>
    <m/>
  </r>
  <r>
    <n v="169"/>
    <d v="2025-11-19T00:00:00"/>
    <s v="Wednesday"/>
    <x v="11"/>
    <m/>
    <s v="Self Withdrawl"/>
    <n v="-13505.600000000006"/>
    <s v="Krishna"/>
    <m/>
  </r>
  <r>
    <n v="170"/>
    <d v="2025-11-19T00:00:00"/>
    <s v="Wednesday"/>
    <x v="11"/>
    <m/>
    <s v="Self Withdrawl"/>
    <n v="-425.60000000000582"/>
    <s v="Rishabh"/>
    <m/>
  </r>
  <r>
    <n v="171"/>
    <d v="2025-11-19T00:00:00"/>
    <s v="Wednesday"/>
    <x v="11"/>
    <m/>
    <s v="Self Withdrawl"/>
    <n v="-8615.6000000000058"/>
    <s v="Vansh"/>
    <m/>
  </r>
  <r>
    <n v="172"/>
    <d v="2025-11-19T00:00:00"/>
    <s v="Wednesday"/>
    <x v="11"/>
    <m/>
    <s v="For self withdrawl : GOA"/>
    <n v="42885.69"/>
    <s v="Account-ArgosMob"/>
    <m/>
  </r>
  <r>
    <n v="173"/>
    <d v="2025-11-20T00:00:00"/>
    <s v="Thursday"/>
    <x v="16"/>
    <m/>
    <s v="Incentive - Prachi - Oct -25"/>
    <n v="21250"/>
    <s v="Account-KiloWatt"/>
    <m/>
  </r>
  <r>
    <n v="174"/>
    <d v="2025-11-21T00:00:00"/>
    <s v="Friday"/>
    <x v="11"/>
    <m/>
    <s v="Self withdrawl for Goa expenses"/>
    <n v="-20000"/>
    <s v="Chandan"/>
    <m/>
  </r>
  <r>
    <n v="175"/>
    <d v="2025-11-21T00:00:00"/>
    <s v="Friday"/>
    <x v="11"/>
    <m/>
    <s v="Self withdrawl for Goa expenses"/>
    <n v="20000"/>
    <s v="Account-ArgosMob"/>
    <m/>
  </r>
  <r>
    <n v="176"/>
    <d v="2025-11-21T00:00:00"/>
    <s v="Friday"/>
    <x v="7"/>
    <m/>
    <s v="Office 365: G124609008"/>
    <n v="179.66"/>
    <s v="Account-ArgosMob"/>
    <m/>
  </r>
  <r>
    <n v="177"/>
    <d v="2025-11-25T00:00:00"/>
    <s v="Tuesday"/>
    <x v="9"/>
    <m/>
    <s v="Total In Goa Expenses"/>
    <n v="95373.88"/>
    <s v="Chandan"/>
    <m/>
  </r>
  <r>
    <n v="178"/>
    <d v="2025-11-25T00:00:00"/>
    <s v="Tuesday"/>
    <x v="6"/>
    <m/>
    <s v="Non maintenance penalty"/>
    <n v="1180"/>
    <s v="Account-ArgosMob"/>
    <m/>
  </r>
  <r>
    <n v="179"/>
    <d v="2025-11-25T00:00:00"/>
    <s v="Tuesday"/>
    <x v="17"/>
    <m/>
    <s v="for in GOA expenses"/>
    <n v="23036.460000000006"/>
    <s v="Account-ArgosMob"/>
    <m/>
  </r>
  <r>
    <n v="180"/>
    <d v="2025-11-25T00:00:00"/>
    <s v="Tuesday"/>
    <x v="17"/>
    <m/>
    <s v="for in GOA expenses"/>
    <n v="-23036.46"/>
    <s v="Chandan"/>
    <m/>
  </r>
  <r>
    <n v="181"/>
    <d v="2025-11-25T00:00:00"/>
    <s v="Tuesday"/>
    <x v="11"/>
    <m/>
    <s v="Self withdrawl for Goa expenses"/>
    <n v="-10000"/>
    <s v="Vansh"/>
    <m/>
  </r>
  <r>
    <n v="182"/>
    <d v="2025-11-25T00:00:00"/>
    <s v="Tuesday"/>
    <x v="11"/>
    <m/>
    <s v="Self withdrawl for Goa expenses"/>
    <n v="10000"/>
    <s v="Account-ArgosMob"/>
    <m/>
  </r>
  <r>
    <n v="183"/>
    <d v="2025-11-26T00:00:00"/>
    <s v="Wednesday"/>
    <x v="1"/>
    <s v="Maid"/>
    <s v="Paid to maid"/>
    <n v="1400"/>
    <s v="Account-ArgosMob"/>
    <m/>
  </r>
  <r>
    <n v="184"/>
    <d v="2025-11-27T00:00:00"/>
    <s v="Thursday"/>
    <x v="1"/>
    <s v="Tea"/>
    <s v="Paid for tea"/>
    <n v="75"/>
    <s v="Rishabh"/>
    <m/>
  </r>
  <r>
    <n v="185"/>
    <d v="2025-11-28T00:00:00"/>
    <s v="Friday"/>
    <x v="11"/>
    <m/>
    <s v="Self Withdrawl"/>
    <n v="-25000"/>
    <s v="Rishabh"/>
    <m/>
  </r>
  <r>
    <n v="186"/>
    <d v="2025-11-28T00:00:00"/>
    <s v="Friday"/>
    <x v="11"/>
    <m/>
    <s v="Self Withdrawl"/>
    <n v="25000"/>
    <s v="Account-ArgosMob"/>
    <m/>
  </r>
  <r>
    <n v="187"/>
    <d v="2025-11-28T00:00:00"/>
    <s v="Friday"/>
    <x v="1"/>
    <s v="Tea"/>
    <s v="Paid for tea"/>
    <n v="210"/>
    <s v="Rishabh"/>
    <m/>
  </r>
  <r>
    <n v="188"/>
    <d v="2025-11-28T00:00:00"/>
    <s v="Friday"/>
    <x v="11"/>
    <m/>
    <s v="Self Withdrawl"/>
    <n v="-22562"/>
    <s v="Krishna"/>
    <m/>
  </r>
  <r>
    <n v="189"/>
    <d v="2025-11-28T00:00:00"/>
    <s v="Friday"/>
    <x v="11"/>
    <m/>
    <s v="Self Withdrawl"/>
    <n v="22562"/>
    <s v="Account-ArgosMob"/>
    <m/>
  </r>
  <r>
    <n v="190"/>
    <d v="2025-11-28T00:00:00"/>
    <s v="Friday"/>
    <x v="1"/>
    <s v="Hostinger"/>
    <s v="VPS server renew"/>
    <n v="22562"/>
    <s v="Krishna"/>
    <m/>
  </r>
  <r>
    <n v="191"/>
    <d v="2025-11-28T00:00:00"/>
    <s v="Friday"/>
    <x v="11"/>
    <m/>
    <s v="Self Withdrawl"/>
    <n v="-25000"/>
    <s v="Krishna"/>
    <m/>
  </r>
  <r>
    <n v="192"/>
    <d v="2025-11-28T00:00:00"/>
    <s v="Friday"/>
    <x v="11"/>
    <m/>
    <s v="Self Withdrawl"/>
    <n v="25000"/>
    <s v="Account-ArgosMob"/>
    <m/>
  </r>
  <r>
    <n v="193"/>
    <d v="2025-11-28T00:00:00"/>
    <s v="Friday"/>
    <x v="11"/>
    <m/>
    <s v="Self Withdrawl"/>
    <n v="-15000"/>
    <s v="Vansh"/>
    <m/>
  </r>
  <r>
    <n v="194"/>
    <d v="2025-11-28T00:00:00"/>
    <s v="Friday"/>
    <x v="11"/>
    <m/>
    <s v="Self Withdrawl"/>
    <n v="15000"/>
    <s v="Account-ArgosMob"/>
    <m/>
  </r>
  <r>
    <n v="195"/>
    <d v="2025-11-29T00:00:00"/>
    <s v="Saturday"/>
    <x v="11"/>
    <m/>
    <s v="Self Withdrawl"/>
    <n v="-10000"/>
    <s v="Rishabh"/>
    <m/>
  </r>
  <r>
    <n v="196"/>
    <d v="2025-11-29T00:00:00"/>
    <s v="Saturday"/>
    <x v="11"/>
    <m/>
    <s v="Self Withdrawl"/>
    <n v="10000"/>
    <s v="Account-ArgosMob"/>
    <m/>
  </r>
  <r>
    <n v="197"/>
    <d v="2025-12-01T00:00:00"/>
    <s v="Monday"/>
    <x v="0"/>
    <s v="FB ads"/>
    <s v="FB budget: 265425466458147"/>
    <n v="20000"/>
    <s v="Account-ArgosMob"/>
    <m/>
  </r>
  <r>
    <n v="198"/>
    <d v="2025-12-01T00:00:00"/>
    <s v="Monday"/>
    <x v="1"/>
    <s v="Tea"/>
    <s v="Paid for tea"/>
    <n v="90"/>
    <s v="Rishabh"/>
    <m/>
  </r>
  <r>
    <n v="199"/>
    <d v="2025-12-01T00:00:00"/>
    <s v="Monday"/>
    <x v="1"/>
    <s v="Snacks"/>
    <s v="Sandwich &amp; Fries"/>
    <n v="350"/>
    <s v="Rishabh"/>
    <m/>
  </r>
  <r>
    <n v="200"/>
    <d v="2025-12-02T00:00:00"/>
    <s v="Tuesday"/>
    <x v="11"/>
    <m/>
    <s v="Self Withdrawl"/>
    <n v="-25000"/>
    <s v="Chandan"/>
    <m/>
  </r>
  <r>
    <n v="201"/>
    <d v="2025-12-02T00:00:00"/>
    <s v="Tuesday"/>
    <x v="11"/>
    <m/>
    <s v="Self Withdrawl"/>
    <n v="25000"/>
    <s v="Account-ArgosMob"/>
    <m/>
  </r>
  <r>
    <n v="202"/>
    <d v="2025-12-02T00:00:00"/>
    <s v="Tuesday"/>
    <x v="1"/>
    <s v="Tea"/>
    <s v="Paid for tea"/>
    <n v="125"/>
    <s v="Rishabh"/>
    <m/>
  </r>
  <r>
    <n v="203"/>
    <d v="2025-12-02T00:00:00"/>
    <s v="Tuesday"/>
    <x v="11"/>
    <m/>
    <s v="Self Withdrawl"/>
    <n v="-10000"/>
    <s v="Krishna"/>
    <m/>
  </r>
  <r>
    <n v="204"/>
    <d v="2025-12-02T00:00:00"/>
    <s v="Tuesday"/>
    <x v="11"/>
    <m/>
    <s v="Self Withdrawl"/>
    <n v="10000"/>
    <s v="Account-ArgosMob"/>
    <m/>
  </r>
  <r>
    <n v="205"/>
    <d v="2025-12-02T00:00:00"/>
    <s v="Tuesday"/>
    <x v="11"/>
    <m/>
    <s v="Self Withdrawl"/>
    <n v="-7000"/>
    <s v="Vansh"/>
    <m/>
  </r>
  <r>
    <n v="206"/>
    <d v="2025-12-02T00:00:00"/>
    <s v="Tuesday"/>
    <x v="11"/>
    <m/>
    <s v="Self Withdrawl"/>
    <n v="7000"/>
    <s v="Account-ArgosMob"/>
    <m/>
  </r>
  <r>
    <n v="207"/>
    <d v="2025-12-03T00:00:00"/>
    <s v="Wednesday"/>
    <x v="6"/>
    <m/>
    <s v="Real estate Data Management -gateway charges"/>
    <n v="-736.31999999999971"/>
    <s v="Chandan"/>
    <m/>
  </r>
  <r>
    <n v="208"/>
    <d v="2025-12-03T00:00:00"/>
    <s v="Wednesday"/>
    <x v="6"/>
    <m/>
    <s v="Agriebookhub-gateway charges"/>
    <n v="-920.40000000000146"/>
    <s v="Chandan"/>
    <m/>
  </r>
  <r>
    <n v="209"/>
    <d v="2025-12-03T00:00:00"/>
    <s v="Wednesday"/>
    <x v="8"/>
    <m/>
    <s v="Paid for salary to kilowatt"/>
    <n v="72075"/>
    <s v="Chandan"/>
    <m/>
  </r>
  <r>
    <n v="210"/>
    <d v="2025-12-03T00:00:00"/>
    <s v="Wednesday"/>
    <x v="8"/>
    <m/>
    <s v="Send for salary to kilowatt"/>
    <n v="-72075"/>
    <s v="Account-KiloWatt"/>
    <m/>
  </r>
  <r>
    <n v="211"/>
    <d v="2025-12-03T00:00:00"/>
    <s v="Wednesday"/>
    <x v="1"/>
    <s v="Tea"/>
    <s v="Paid for tea"/>
    <n v="95"/>
    <s v="Vansh"/>
    <m/>
  </r>
  <r>
    <n v="212"/>
    <d v="2025-12-03T00:00:00"/>
    <s v="Wednesday"/>
    <x v="9"/>
    <m/>
    <s v="Pool"/>
    <n v="227"/>
    <s v="Chandan"/>
    <m/>
  </r>
  <r>
    <n v="213"/>
    <d v="2025-12-04T00:00:00"/>
    <s v="Thursday"/>
    <x v="1"/>
    <s v="Tea"/>
    <s v="Paid for tea"/>
    <n v="65"/>
    <s v="Rishabh"/>
    <m/>
  </r>
  <r>
    <n v="214"/>
    <d v="2025-12-04T00:00:00"/>
    <s v="Thursday"/>
    <x v="1"/>
    <s v="Water"/>
    <s v="Paid for water"/>
    <n v="550"/>
    <s v="Rishabh"/>
    <m/>
  </r>
  <r>
    <n v="215"/>
    <d v="2025-12-04T00:00:00"/>
    <s v="Thursday"/>
    <x v="1"/>
    <m/>
    <s v="Dinner(Rajat client at shiva ddhaba)"/>
    <n v="900"/>
    <s v="Chandan"/>
    <m/>
  </r>
  <r>
    <n v="216"/>
    <d v="2025-12-04T00:00:00"/>
    <s v="Thursday"/>
    <x v="1"/>
    <m/>
    <s v="Sweets for client"/>
    <n v="290"/>
    <s v="Rishabh"/>
    <m/>
  </r>
  <r>
    <n v="217"/>
    <d v="2025-12-04T00:00:00"/>
    <s v="Thursday"/>
    <x v="1"/>
    <s v="Coffee"/>
    <s v="Paid for Coffee - client meet"/>
    <n v="180"/>
    <s v="Vansh"/>
    <m/>
  </r>
  <r>
    <n v="218"/>
    <d v="2025-12-05T00:00:00"/>
    <s v="Friday"/>
    <x v="9"/>
    <m/>
    <s v="Pool"/>
    <n v="262"/>
    <s v="Chandan"/>
    <m/>
  </r>
  <r>
    <n v="219"/>
    <d v="2025-12-06T00:00:00"/>
    <s v="Saturday"/>
    <x v="9"/>
    <m/>
    <s v="Box Cricket Booking"/>
    <n v="800"/>
    <s v="Chandan"/>
    <m/>
  </r>
  <r>
    <n v="220"/>
    <d v="2025-12-06T00:00:00"/>
    <s v="Saturday"/>
    <x v="2"/>
    <m/>
    <s v="sandwich and fries"/>
    <n v="500"/>
    <s v="Krishna"/>
    <m/>
  </r>
  <r>
    <n v="221"/>
    <d v="2025-12-06T00:00:00"/>
    <s v="Saturday"/>
    <x v="11"/>
    <m/>
    <s v="Self Withdrawl for Salary"/>
    <n v="-80000"/>
    <s v="Vansh"/>
    <m/>
  </r>
  <r>
    <n v="222"/>
    <d v="2025-12-06T00:00:00"/>
    <s v="Saturday"/>
    <x v="11"/>
    <m/>
    <s v="Self Withdrawl for Salary"/>
    <n v="80000"/>
    <s v="Account-ArgosMob"/>
    <m/>
  </r>
  <r>
    <n v="223"/>
    <d v="2025-12-08T00:00:00"/>
    <s v="Monday"/>
    <x v="1"/>
    <m/>
    <s v="For Naukri portal purchase"/>
    <n v="1003"/>
    <s v="Chandan"/>
    <m/>
  </r>
  <r>
    <n v="224"/>
    <d v="2025-12-09T00:00:00"/>
    <s v="Tuesday"/>
    <x v="1"/>
    <s v="Medicine"/>
    <s v="Paid for medicine"/>
    <n v="100"/>
    <s v="Rishabh"/>
    <m/>
  </r>
  <r>
    <n v="225"/>
    <d v="2025-12-09T00:00:00"/>
    <s v="Tuesday"/>
    <x v="9"/>
    <m/>
    <s v="Pool"/>
    <n v="266"/>
    <s v="Chandan"/>
    <m/>
  </r>
  <r>
    <n v="226"/>
    <d v="2025-12-09T00:00:00"/>
    <s v="Tuesday"/>
    <x v="5"/>
    <m/>
    <s v="Salary nov-25 Priyanka"/>
    <n v="21000"/>
    <s v="Account-ArgosMob"/>
    <m/>
  </r>
  <r>
    <n v="227"/>
    <d v="2025-12-09T00:00:00"/>
    <s v="Tuesday"/>
    <x v="8"/>
    <m/>
    <s v="Paid to Kilowatt for salary"/>
    <n v="50000"/>
    <s v="Vansh"/>
    <m/>
  </r>
  <r>
    <n v="228"/>
    <d v="2025-12-09T00:00:00"/>
    <s v="Tuesday"/>
    <x v="8"/>
    <m/>
    <s v="Received from Vansh for Salary"/>
    <n v="-50000"/>
    <s v="Account-KiloWatt"/>
    <m/>
  </r>
  <r>
    <n v="229"/>
    <d v="2025-12-10T00:00:00"/>
    <s v="Wednesday"/>
    <x v="0"/>
    <s v="FB ads"/>
    <s v="FB budget: 265425466458147"/>
    <n v="10000"/>
    <s v="Account-ArgosMob"/>
    <m/>
  </r>
  <r>
    <n v="230"/>
    <d v="2025-12-10T00:00:00"/>
    <s v="Wednesday"/>
    <x v="5"/>
    <m/>
    <s v="Salary nov-25 Parul Sandilya"/>
    <n v="45000"/>
    <s v="Account-KiloWatt"/>
    <m/>
  </r>
  <r>
    <n v="231"/>
    <d v="2025-12-10T00:00:00"/>
    <s v="Wednesday"/>
    <x v="5"/>
    <m/>
    <s v="Salary nov-25 Prachi Lohani"/>
    <n v="25000"/>
    <s v="Account-KiloWatt"/>
    <m/>
  </r>
  <r>
    <n v="232"/>
    <d v="2025-12-10T00:00:00"/>
    <s v="Wednesday"/>
    <x v="5"/>
    <m/>
    <s v="Salary nov-25 Haider"/>
    <n v="51000"/>
    <s v="Account-KiloWatt"/>
    <m/>
  </r>
  <r>
    <n v="233"/>
    <d v="2025-12-10T00:00:00"/>
    <s v="Wednesday"/>
    <x v="1"/>
    <m/>
    <s v="laptop cleaner"/>
    <n v="150"/>
    <s v="Krishna"/>
    <m/>
  </r>
  <r>
    <n v="234"/>
    <d v="2025-12-10T00:00:00"/>
    <s v="Wednesday"/>
    <x v="8"/>
    <m/>
    <s v="Paid to Kilowatt for salary"/>
    <n v="26000"/>
    <s v="Vansh"/>
    <m/>
  </r>
  <r>
    <n v="235"/>
    <d v="2025-12-10T00:00:00"/>
    <s v="Wednesday"/>
    <x v="8"/>
    <m/>
    <s v="Received from Vansh for Salary"/>
    <n v="-26000"/>
    <s v="Account-ArgosMob"/>
    <m/>
  </r>
  <r>
    <n v="236"/>
    <d v="2025-12-10T00:00:00"/>
    <s v="Wednesday"/>
    <x v="5"/>
    <m/>
    <s v="Salary nov-25 Inayat"/>
    <n v="20000"/>
    <s v="Account-ArgosMob"/>
    <m/>
  </r>
  <r>
    <n v="237"/>
    <d v="2025-12-10T00:00:00"/>
    <s v="Wednesday"/>
    <x v="5"/>
    <m/>
    <s v="Salary nov-25 Dev kumar Sharma Adjusted4k from Vansh"/>
    <n v="36000"/>
    <s v="Account-ArgosMob"/>
    <m/>
  </r>
  <r>
    <n v="238"/>
    <d v="2025-12-10T00:00:00"/>
    <s v="Wednesday"/>
    <x v="5"/>
    <m/>
    <s v="Salary nov-25 Gauri Pandey"/>
    <n v="6000"/>
    <s v="Account-ArgosMob"/>
    <m/>
  </r>
  <r>
    <n v="239"/>
    <d v="2025-12-10T00:00:00"/>
    <s v="Wednesday"/>
    <x v="5"/>
    <m/>
    <s v="Salary nov-25 Dev kumar Sharma Adjusted4k from Vansh"/>
    <n v="4000"/>
    <s v="Vansh"/>
    <m/>
  </r>
  <r>
    <n v="240"/>
    <d v="2025-12-11T00:00:00"/>
    <s v="Thursday"/>
    <x v="5"/>
    <m/>
    <s v="Salary nov-25 Khushi Agarwal"/>
    <n v="14333.333333333336"/>
    <s v="Account-ArgosMob"/>
    <m/>
  </r>
  <r>
    <n v="241"/>
    <d v="2025-12-11T00:00:00"/>
    <s v="Thursday"/>
    <x v="5"/>
    <m/>
    <s v="Salary nov-25 Prashant"/>
    <n v="11333.333333333334"/>
    <s v="Account-ArgosMob"/>
    <m/>
  </r>
  <r>
    <n v="242"/>
    <d v="2025-12-11T00:00:00"/>
    <s v="Thursday"/>
    <x v="9"/>
    <m/>
    <s v="Birthday Cake for Priyanka"/>
    <n v="527"/>
    <s v="Krishna"/>
    <m/>
  </r>
  <r>
    <n v="243"/>
    <d v="2025-12-12T00:00:00"/>
    <s v="Friday"/>
    <x v="9"/>
    <m/>
    <s v="Pool"/>
    <n v="357"/>
    <s v="Chandan"/>
    <m/>
  </r>
  <r>
    <n v="244"/>
    <d v="2025-12-12T00:00:00"/>
    <s v="Friday"/>
    <x v="11"/>
    <m/>
    <s v="Self withdrawl for emergency"/>
    <n v="-15000"/>
    <s v="Vansh"/>
    <m/>
  </r>
  <r>
    <n v="245"/>
    <d v="2025-12-12T00:00:00"/>
    <s v="Friday"/>
    <x v="11"/>
    <m/>
    <s v="Self withdrawl for emergency"/>
    <n v="15000"/>
    <s v="Account-ArgosMob"/>
    <m/>
  </r>
  <r>
    <n v="246"/>
    <d v="2025-12-12T00:00:00"/>
    <s v="Friday"/>
    <x v="1"/>
    <m/>
    <s v="Shivam tea"/>
    <n v="2895"/>
    <s v="Account-ArgosMob"/>
    <m/>
  </r>
  <r>
    <n v="247"/>
    <d v="2025-12-12T00:00:00"/>
    <s v="Friday"/>
    <x v="6"/>
    <m/>
    <s v="Bank charges for IMPS"/>
    <n v="5.04"/>
    <s v="Account-ArgosMob"/>
    <m/>
  </r>
  <r>
    <n v="248"/>
    <d v="2025-12-13T00:00:00"/>
    <s v="Saturday"/>
    <x v="13"/>
    <m/>
    <s v="Parking"/>
    <n v="120"/>
    <s v="Rishabh"/>
    <m/>
  </r>
  <r>
    <n v="249"/>
    <d v="2025-12-13T00:00:00"/>
    <s v="Saturday"/>
    <x v="13"/>
    <m/>
    <s v="Teasta coffee"/>
    <n v="350"/>
    <s v="Krishna"/>
    <m/>
  </r>
  <r>
    <n v="250"/>
    <d v="2025-12-13T00:00:00"/>
    <s v="Saturday"/>
    <x v="13"/>
    <m/>
    <s v="Pan"/>
    <n v="170"/>
    <s v="Krishna"/>
    <m/>
  </r>
  <r>
    <n v="251"/>
    <d v="2025-12-13T00:00:00"/>
    <s v="Saturday"/>
    <x v="13"/>
    <m/>
    <s v="Haldiram"/>
    <n v="210"/>
    <s v="Krishna"/>
    <m/>
  </r>
  <r>
    <n v="252"/>
    <d v="2025-12-13T00:00:00"/>
    <s v="Saturday"/>
    <x v="13"/>
    <m/>
    <s v="Dr Dev lunch"/>
    <n v="1084"/>
    <s v="Chandan"/>
    <m/>
  </r>
  <r>
    <n v="253"/>
    <d v="2025-12-13T00:00:00"/>
    <s v="Saturday"/>
    <x v="13"/>
    <m/>
    <s v="Bistra 37"/>
    <n v="1240"/>
    <s v="Chandan"/>
    <m/>
  </r>
  <r>
    <n v="254"/>
    <d v="2025-12-15T00:00:00"/>
    <s v="Monday"/>
    <x v="5"/>
    <m/>
    <s v="Salary nov-25 Karan"/>
    <n v="5334"/>
    <s v="Account-ArgosMob"/>
    <m/>
  </r>
  <r>
    <n v="255"/>
    <d v="2025-12-16T00:00:00"/>
    <s v="Tuesday"/>
    <x v="0"/>
    <s v="FB ads"/>
    <s v="FB budget: 265425466458147"/>
    <n v="20000"/>
    <s v="Account-ArgosMob"/>
    <m/>
  </r>
  <r>
    <n v="256"/>
    <d v="2025-12-16T00:00:00"/>
    <s v="Tuesday"/>
    <x v="1"/>
    <m/>
    <s v="WIFI Recharge"/>
    <n v="5303"/>
    <s v="Account-ArgosMob"/>
    <m/>
  </r>
  <r>
    <n v="257"/>
    <d v="2025-12-16T00:00:00"/>
    <s v="Tuesday"/>
    <x v="1"/>
    <m/>
    <s v="Mobile Recharge"/>
    <n v="1826.64"/>
    <s v="Account-ArgosMob"/>
    <m/>
  </r>
  <r>
    <n v="258"/>
    <d v="2025-12-16T00:00:00"/>
    <s v="Tuesday"/>
    <x v="1"/>
    <m/>
    <s v="WIFI Recharge"/>
    <n v="175"/>
    <s v="Account-ArgosMob"/>
    <m/>
  </r>
  <r>
    <n v="259"/>
    <d v="2025-12-16T00:00:00"/>
    <s v="Tuesday"/>
    <x v="1"/>
    <m/>
    <s v="WIFI Recharge"/>
    <n v="175"/>
    <s v="Account-ArgosMob"/>
    <m/>
  </r>
  <r>
    <n v="260"/>
    <d v="2025-12-16T00:00:00"/>
    <s v="Tuesday"/>
    <x v="1"/>
    <m/>
    <s v="Office Rent"/>
    <n v="32000"/>
    <s v="Account-ArgosMob"/>
    <m/>
  </r>
  <r>
    <n v="261"/>
    <d v="2025-12-16T00:00:00"/>
    <s v="Tuesday"/>
    <x v="17"/>
    <m/>
    <m/>
    <n v="300"/>
    <s v="Vansh"/>
    <m/>
  </r>
  <r>
    <n v="262"/>
    <d v="2025-12-17T00:00:00"/>
    <s v="Wednesday"/>
    <x v="11"/>
    <m/>
    <s v="Self withdrawl"/>
    <n v="-3000"/>
    <s v="Rishabh"/>
    <m/>
  </r>
  <r>
    <n v="263"/>
    <d v="2025-12-17T00:00:00"/>
    <s v="Wednesday"/>
    <x v="11"/>
    <m/>
    <s v="Self withdrawl"/>
    <n v="3000"/>
    <s v="Account-ArgosMob"/>
    <m/>
  </r>
  <r>
    <n v="264"/>
    <d v="2025-12-18T00:00:00"/>
    <s v="Thursday"/>
    <x v="2"/>
    <m/>
    <s v="Paid to Haider for biryani"/>
    <n v="200"/>
    <s v="Chandan"/>
    <m/>
  </r>
  <r>
    <n v="265"/>
    <d v="2025-12-18T00:00:00"/>
    <s v="Thursday"/>
    <x v="9"/>
    <m/>
    <s v="Pool"/>
    <n v="357"/>
    <s v="Chandan"/>
    <m/>
  </r>
  <r>
    <n v="266"/>
    <d v="2025-12-18T00:00:00"/>
    <s v="Thursday"/>
    <x v="17"/>
    <m/>
    <s v="Self Withdrawl"/>
    <n v="30000"/>
    <s v="Account-ArgosMob"/>
    <m/>
  </r>
  <r>
    <n v="267"/>
    <d v="2025-12-18T00:00:00"/>
    <s v="Thursday"/>
    <x v="17"/>
    <m/>
    <s v="Self Withdrawl"/>
    <n v="22000"/>
    <s v="Account-ArgosMob"/>
    <m/>
  </r>
  <r>
    <n v="268"/>
    <d v="2025-12-18T00:00:00"/>
    <s v="Thursday"/>
    <x v="17"/>
    <m/>
    <s v="Self Withdrawl"/>
    <n v="19000"/>
    <s v="Account-ArgosMob"/>
    <m/>
  </r>
  <r>
    <n v="269"/>
    <d v="2025-12-18T00:00:00"/>
    <s v="Thursday"/>
    <x v="17"/>
    <m/>
    <s v="Self Withdrawl"/>
    <n v="-30000"/>
    <s v="Chandan"/>
    <m/>
  </r>
  <r>
    <n v="270"/>
    <d v="2025-12-18T00:00:00"/>
    <s v="Thursday"/>
    <x v="17"/>
    <m/>
    <s v="Self Withdrawl"/>
    <n v="-22000"/>
    <s v="Krishna"/>
    <m/>
  </r>
  <r>
    <n v="271"/>
    <d v="2025-12-18T00:00:00"/>
    <s v="Thursday"/>
    <x v="17"/>
    <m/>
    <s v="Self Withdrawl"/>
    <n v="-19000"/>
    <s v="Rishabh"/>
    <m/>
  </r>
  <r>
    <n v="272"/>
    <d v="2025-12-18T00:00:00"/>
    <s v="Thursday"/>
    <x v="1"/>
    <m/>
    <s v="Paid for courier &amp; photocopy"/>
    <n v="150"/>
    <s v="Rishabh"/>
    <m/>
  </r>
  <r>
    <n v="273"/>
    <d v="2025-12-20T00:00:00"/>
    <s v="Saturday"/>
    <x v="6"/>
    <m/>
    <s v="Monthly service charge"/>
    <n v="177"/>
    <s v="Account-ArgosMob"/>
    <m/>
  </r>
  <r>
    <n v="274"/>
    <d v="2025-12-20T00:00:00"/>
    <s v="Saturday"/>
    <x v="17"/>
    <m/>
    <s v="Self Withdrawl"/>
    <n v="20000"/>
    <s v="Account-ArgosMob"/>
    <m/>
  </r>
  <r>
    <n v="275"/>
    <d v="2025-12-20T00:00:00"/>
    <s v="Saturday"/>
    <x v="17"/>
    <m/>
    <s v="Self Withdrawl"/>
    <n v="-20000"/>
    <s v="Vansh"/>
    <m/>
  </r>
  <r>
    <n v="276"/>
    <d v="2025-12-20T00:00:00"/>
    <s v="Saturday"/>
    <x v="6"/>
    <m/>
    <s v="Monthly service charge:Kilowatt crew"/>
    <n v="172.63"/>
    <s v="Account-KiloWatt"/>
    <m/>
  </r>
  <r>
    <n v="277"/>
    <d v="2025-12-20T00:00:00"/>
    <s v="Saturday"/>
    <x v="6"/>
    <m/>
    <s v="GST=&gt;Monthly service charge:Kilowatt crew"/>
    <n v="31.07"/>
    <s v="Account-KiloWatt"/>
    <m/>
  </r>
  <r>
    <n v="278"/>
    <d v="2025-12-21T00:00:00"/>
    <s v="Sunday"/>
    <x v="1"/>
    <m/>
    <s v="Microsoft 365 : G130100942"/>
    <n v="179.66"/>
    <s v="Account-ArgosMob"/>
    <m/>
  </r>
  <r>
    <n v="279"/>
    <d v="2025-12-21T00:00:00"/>
    <s v="Sunday"/>
    <x v="11"/>
    <m/>
    <s v="Self Withdrawl"/>
    <n v="15000"/>
    <s v="Account-ArgosMob"/>
    <m/>
  </r>
  <r>
    <n v="280"/>
    <d v="2025-12-21T00:00:00"/>
    <s v="Sunday"/>
    <x v="11"/>
    <m/>
    <s v="Self Withdrawl"/>
    <n v="-15000"/>
    <s v="Krishna"/>
    <m/>
  </r>
  <r>
    <n v="281"/>
    <d v="2025-12-22T00:00:00"/>
    <s v="Monday"/>
    <x v="9"/>
    <m/>
    <s v="Box Cricket Booking"/>
    <n v="1000"/>
    <s v="Chandan"/>
    <m/>
  </r>
  <r>
    <n v="282"/>
    <d v="2025-12-22T00:00:00"/>
    <s v="Monday"/>
    <x v="9"/>
    <m/>
    <s v="Barbeque nation"/>
    <n v="275"/>
    <s v="Account-ArgosMob"/>
    <m/>
  </r>
  <r>
    <n v="283"/>
    <d v="2025-12-22T00:00:00"/>
    <s v="Monday"/>
    <x v="1"/>
    <m/>
    <s v="Printer cartridge blinkit-to be refunded"/>
    <n v="1720"/>
    <s v="Account-ArgosMob"/>
    <m/>
  </r>
  <r>
    <n v="284"/>
    <d v="2025-12-22T00:00:00"/>
    <s v="Monday"/>
    <x v="1"/>
    <m/>
    <s v="Printer cartridge zepto"/>
    <n v="795"/>
    <s v="Account-ArgosMob"/>
    <m/>
  </r>
  <r>
    <n v="285"/>
    <d v="2025-12-23T00:00:00"/>
    <s v="Tuesday"/>
    <x v="5"/>
    <m/>
    <s v="Oct-25-Nitin Malik"/>
    <n v="10666.67"/>
    <s v="Account-ArgosMob"/>
    <m/>
  </r>
  <r>
    <n v="286"/>
    <d v="2025-12-23T00:00:00"/>
    <s v="Tuesday"/>
    <x v="5"/>
    <m/>
    <s v="Salary Nov-25 Inayat"/>
    <n v="6666.666666666667"/>
    <s v="Account-ArgosMob"/>
    <m/>
  </r>
  <r>
    <n v="287"/>
    <d v="2025-12-23T00:00:00"/>
    <s v="Tuesday"/>
    <x v="1"/>
    <m/>
    <s v="Cake for Dubey"/>
    <n v="500"/>
    <s v="Vansh"/>
    <m/>
  </r>
  <r>
    <n v="288"/>
    <d v="2025-12-23T00:00:00"/>
    <s v="Tuesday"/>
    <x v="1"/>
    <m/>
    <s v="maid payment: Nov"/>
    <n v="1400"/>
    <s v="Account-ArgosMob"/>
    <m/>
  </r>
  <r>
    <n v="289"/>
    <d v="2025-12-23T00:00:00"/>
    <s v="Tuesday"/>
    <x v="1"/>
    <m/>
    <s v="Colin: Blinkit"/>
    <n v="361"/>
    <s v="Account-ArgosMob"/>
    <m/>
  </r>
  <r>
    <n v="290"/>
    <d v="2025-12-23T00:00:00"/>
    <s v="Tuesday"/>
    <x v="1"/>
    <m/>
    <s v="Printer cartridge blinkit refunded"/>
    <n v="-1720"/>
    <s v="Account-ArgosMob"/>
    <m/>
  </r>
  <r>
    <n v="291"/>
    <d v="2025-12-23T00:00:00"/>
    <s v="Tuesday"/>
    <x v="11"/>
    <m/>
    <s v="Self withdrawl"/>
    <n v="-10000"/>
    <s v="Rishabh"/>
    <m/>
  </r>
  <r>
    <n v="292"/>
    <d v="2025-12-23T00:00:00"/>
    <s v="Tuesday"/>
    <x v="11"/>
    <m/>
    <s v="Self withdrawl"/>
    <n v="10000"/>
    <s v="Account-ArgosMob"/>
    <m/>
  </r>
  <r>
    <n v="293"/>
    <d v="2025-12-24T00:00:00"/>
    <s v="Wednesday"/>
    <x v="9"/>
    <m/>
    <s v="Box Cricket"/>
    <n v="1000"/>
    <s v="Chandan"/>
    <m/>
  </r>
  <r>
    <n v="294"/>
    <d v="2025-12-24T00:00:00"/>
    <s v="Wednesday"/>
    <x v="9"/>
    <m/>
    <s v="Pool"/>
    <n v="284"/>
    <s v="Chandan"/>
    <m/>
  </r>
  <r>
    <n v="295"/>
    <d v="2025-12-24T00:00:00"/>
    <s v="Wednesday"/>
    <x v="9"/>
    <m/>
    <s v="Barbeque nation"/>
    <n v="9979.2900000000009"/>
    <s v="Chandan"/>
    <m/>
  </r>
  <r>
    <n v="296"/>
    <d v="2025-12-24T00:00:00"/>
    <s v="Wednesday"/>
    <x v="11"/>
    <m/>
    <s v="Self Withdrawl for Christmas team buidling activity"/>
    <n v="10979.29"/>
    <s v="Account-ArgosMob"/>
    <m/>
  </r>
  <r>
    <n v="297"/>
    <d v="2025-12-24T00:00:00"/>
    <s v="Wednesday"/>
    <x v="11"/>
    <m/>
    <s v="Self Withdrawl for Christmas team buidling activity"/>
    <n v="-10979.29"/>
    <s v="Chandan"/>
    <m/>
  </r>
  <r>
    <n v="298"/>
    <d v="2025-12-25T00:00:00"/>
    <s v="Thursday"/>
    <x v="11"/>
    <m/>
    <s v="Self Withdrawl"/>
    <n v="4000"/>
    <s v="Account-ArgosMob"/>
    <m/>
  </r>
  <r>
    <n v="299"/>
    <d v="2025-12-25T00:00:00"/>
    <s v="Thursday"/>
    <x v="11"/>
    <m/>
    <s v="Self Withdrawl"/>
    <n v="-4000"/>
    <s v="Rishabh"/>
    <m/>
  </r>
  <r>
    <n v="300"/>
    <d v="2025-12-26T00:00:00"/>
    <s v="Friday"/>
    <x v="1"/>
    <m/>
    <s v="Paid for Masks"/>
    <n v="104"/>
    <s v="Rishabh"/>
    <m/>
  </r>
  <r>
    <n v="301"/>
    <d v="2025-12-26T00:00:00"/>
    <s v="Friday"/>
    <x v="1"/>
    <m/>
    <s v="Paid for Salad (Chadha Ji)"/>
    <n v="272.7"/>
    <s v="Rishabh"/>
    <m/>
  </r>
  <r>
    <n v="302"/>
    <d v="2025-12-26T00:00:00"/>
    <s v="Friday"/>
    <x v="17"/>
    <m/>
    <s v="Paid to Mc donalds Chaddha ji"/>
    <n v="523.96"/>
    <s v="Chandan"/>
    <m/>
  </r>
  <r>
    <n v="303"/>
    <d v="2025-12-27T00:00:00"/>
    <s v="Saturday"/>
    <x v="17"/>
    <m/>
    <s v="Paid by Rishab for Chaddha ji expenses(chole bhature)"/>
    <n v="504"/>
    <s v="Rishabh"/>
    <m/>
  </r>
  <r>
    <n v="304"/>
    <d v="2025-12-27T00:00:00"/>
    <s v="Saturday"/>
    <x v="11"/>
    <m/>
    <s v="Self Withdrawl"/>
    <n v="-6000"/>
    <s v="Vansh"/>
    <m/>
  </r>
  <r>
    <n v="305"/>
    <d v="2025-12-27T00:00:00"/>
    <s v="Saturday"/>
    <x v="11"/>
    <m/>
    <s v="Self Withdrawl"/>
    <n v="6000"/>
    <s v="Account-ArgosMob"/>
    <m/>
  </r>
  <r>
    <n v="306"/>
    <d v="2025-12-27T00:00:00"/>
    <s v="Saturday"/>
    <x v="17"/>
    <m/>
    <s v="Paid to Mc donalds Chaddha ji"/>
    <n v="584.16999999999996"/>
    <s v="Chandan"/>
    <m/>
  </r>
  <r>
    <n v="307"/>
    <d v="2025-12-27T00:00:00"/>
    <s v="Saturday"/>
    <x v="17"/>
    <m/>
    <s v="Paid by Rishab for Chaddha ji expenses(coke)"/>
    <n v="126"/>
    <s v="Rishabh"/>
    <m/>
  </r>
  <r>
    <n v="308"/>
    <d v="2025-12-28T00:00:00"/>
    <s v="Sunday"/>
    <x v="17"/>
    <m/>
    <s v="Self Withdrawl"/>
    <n v="-14630.22416666674"/>
    <s v="Chandan"/>
    <m/>
  </r>
  <r>
    <n v="309"/>
    <d v="2025-12-28T00:00:00"/>
    <s v="Sunday"/>
    <x v="17"/>
    <m/>
    <s v="Self Withdrawl"/>
    <n v="-22030.814166666707"/>
    <s v="Krishna"/>
    <m/>
  </r>
  <r>
    <n v="310"/>
    <d v="2025-12-28T00:00:00"/>
    <s v="Sunday"/>
    <x v="17"/>
    <m/>
    <s v="Self Withdrawl"/>
    <n v="-24255.514166666704"/>
    <s v="Rishabh"/>
    <m/>
  </r>
  <r>
    <n v="311"/>
    <d v="2025-12-28T00:00:00"/>
    <s v="Sunday"/>
    <x v="17"/>
    <m/>
    <s v="Self Withdrawl"/>
    <n v="-4036.8183333335901"/>
    <s v="Vansh"/>
    <m/>
  </r>
  <r>
    <n v="312"/>
    <d v="2025-12-28T00:00:00"/>
    <s v="Sunday"/>
    <x v="17"/>
    <m/>
    <s v="Self Withdrawl"/>
    <n v="14630.2241666667"/>
    <s v="Account-ArgosMob"/>
    <m/>
  </r>
  <r>
    <n v="313"/>
    <d v="2025-12-28T00:00:00"/>
    <s v="Sunday"/>
    <x v="17"/>
    <m/>
    <s v="Self Withdrawl"/>
    <n v="22030.8141666667"/>
    <s v="Account-ArgosMob"/>
    <m/>
  </r>
  <r>
    <n v="314"/>
    <d v="2025-12-28T00:00:00"/>
    <s v="Sunday"/>
    <x v="17"/>
    <m/>
    <s v="Self Withdrawl"/>
    <n v="24255.51"/>
    <s v="Account-ArgosMob"/>
    <m/>
  </r>
  <r>
    <n v="315"/>
    <d v="2025-12-28T00:00:00"/>
    <s v="Sunday"/>
    <x v="17"/>
    <m/>
    <s v="Self Withdrawl"/>
    <n v="4036.818333333591"/>
    <s v="Account-ArgosMob"/>
    <m/>
  </r>
  <r>
    <n v="316"/>
    <d v="2025-12-28T00:00:00"/>
    <s v="Sunday"/>
    <x v="2"/>
    <m/>
    <s v="Paid to Zomato Chaddha ji"/>
    <n v="1550.86"/>
    <s v="Chandan"/>
    <m/>
  </r>
  <r>
    <n v="317"/>
    <d v="2025-12-28T00:00:00"/>
    <s v="Sunday"/>
    <x v="2"/>
    <m/>
    <s v="Paid to Hira Sweets Chaddha ji"/>
    <n v="1708.26"/>
    <s v="Chandan"/>
    <m/>
  </r>
  <r>
    <n v="318"/>
    <d v="2025-12-29T00:00:00"/>
    <s v="Monday"/>
    <x v="2"/>
    <m/>
    <s v="Paid to McDonalds Chaddha ji"/>
    <n v="353.86"/>
    <s v="Chandan"/>
    <m/>
  </r>
  <r>
    <n v="319"/>
    <d v="2025-12-30T00:00:00"/>
    <s v="Tuesday"/>
    <x v="1"/>
    <m/>
    <s v="Team ice-cream"/>
    <n v="648"/>
    <s v="Rishabh"/>
    <m/>
  </r>
  <r>
    <n v="320"/>
    <d v="2025-12-31T00:00:00"/>
    <s v="Wednesday"/>
    <x v="1"/>
    <m/>
    <s v="Cursur subscription"/>
    <n v="1875.42"/>
    <s v="Account-ArgosMob"/>
    <m/>
  </r>
  <r>
    <n v="321"/>
    <d v="2026-01-02T00:00:00"/>
    <s v="Friday"/>
    <x v="5"/>
    <m/>
    <s v="Test transaction to haider re1"/>
    <n v="1"/>
    <s v="Account-ArgosMob"/>
    <m/>
  </r>
  <r>
    <n v="322"/>
    <d v="2026-01-02T00:00:00"/>
    <s v="Friday"/>
    <x v="0"/>
    <s v="FB ads"/>
    <s v="FB budget: 265425466458147"/>
    <n v="5000"/>
    <s v="Account-ArgosMob"/>
    <m/>
  </r>
  <r>
    <n v="323"/>
    <d v="2026-01-02T00:00:00"/>
    <s v="Friday"/>
    <x v="3"/>
    <m/>
    <s v="Self withdrawl for Electricity"/>
    <n v="3000"/>
    <s v="Account-ArgosMob"/>
    <m/>
  </r>
  <r>
    <n v="324"/>
    <d v="2026-01-02T00:00:00"/>
    <s v="Friday"/>
    <x v="3"/>
    <m/>
    <s v="Self withdrawl for Electricity"/>
    <n v="-3000"/>
    <s v="Chandan"/>
    <m/>
  </r>
  <r>
    <n v="325"/>
    <d v="2026-01-02T00:00:00"/>
    <s v="Friday"/>
    <x v="3"/>
    <m/>
    <s v="Paid for electricity =&gt; 618"/>
    <n v="3000"/>
    <s v="Chandan"/>
    <m/>
  </r>
  <r>
    <n v="326"/>
    <d v="2026-01-02T00:00:00"/>
    <s v="Friday"/>
    <x v="8"/>
    <m/>
    <s v="Self funding for coffee"/>
    <n v="125"/>
    <s v="Chandan"/>
    <m/>
  </r>
  <r>
    <n v="327"/>
    <d v="2026-01-02T00:00:00"/>
    <s v="Friday"/>
    <x v="8"/>
    <m/>
    <s v="Self funding for coffee"/>
    <n v="-125"/>
    <s v="Account-ArgosMob"/>
    <m/>
  </r>
  <r>
    <n v="328"/>
    <d v="2026-01-02T00:00:00"/>
    <s v="Friday"/>
    <x v="8"/>
    <m/>
    <s v="Self funding for coffee"/>
    <n v="151"/>
    <s v="Chandan"/>
    <m/>
  </r>
  <r>
    <n v="329"/>
    <d v="2026-01-02T00:00:00"/>
    <s v="Friday"/>
    <x v="8"/>
    <m/>
    <s v="Self funding for coffee"/>
    <n v="-151"/>
    <s v="Account-ArgosMob"/>
    <m/>
  </r>
  <r>
    <n v="330"/>
    <d v="2026-01-02T00:00:00"/>
    <s v="Friday"/>
    <x v="1"/>
    <m/>
    <s v="Blinkit Coffee"/>
    <n v="400"/>
    <s v="Account-ArgosMob"/>
    <m/>
  </r>
  <r>
    <n v="331"/>
    <d v="2026-01-02T00:00:00"/>
    <s v="Friday"/>
    <x v="9"/>
    <m/>
    <s v="Pool"/>
    <n v="227"/>
    <s v="Chandan"/>
    <m/>
  </r>
  <r>
    <n v="332"/>
    <d v="2026-01-03T00:00:00"/>
    <s v="Saturday"/>
    <x v="13"/>
    <m/>
    <s v="hira sweets =&gt; venkat"/>
    <n v="457"/>
    <s v="Vansh"/>
    <m/>
  </r>
  <r>
    <n v="333"/>
    <d v="2026-01-04T00:00:00"/>
    <s v="Sunday"/>
    <x v="13"/>
    <m/>
    <s v="Venkar gift=&gt; bedsheet"/>
    <n v="950"/>
    <s v="Chandan"/>
    <m/>
  </r>
  <r>
    <n v="334"/>
    <d v="2026-01-04T00:00:00"/>
    <s v="Sunday"/>
    <x v="13"/>
    <m/>
    <s v="Pan"/>
    <n v="200"/>
    <s v="Krishna"/>
    <m/>
  </r>
  <r>
    <n v="335"/>
    <d v="2026-01-04T00:00:00"/>
    <s v="Sunday"/>
    <x v="13"/>
    <m/>
    <s v="ras malai"/>
    <n v="112"/>
    <s v="Krishna"/>
    <m/>
  </r>
  <r>
    <n v="336"/>
    <d v="2026-01-04T00:00:00"/>
    <s v="Sunday"/>
    <x v="13"/>
    <m/>
    <s v="print out"/>
    <n v="65"/>
    <s v="Rishabh"/>
    <m/>
  </r>
  <r>
    <n v="337"/>
    <d v="2026-01-06T00:00:00"/>
    <s v="Tuesday"/>
    <x v="1"/>
    <m/>
    <s v="Water"/>
    <n v="440"/>
    <s v="Chandan"/>
    <m/>
  </r>
  <r>
    <n v="338"/>
    <d v="2026-01-08T00:00:00"/>
    <s v="Thursday"/>
    <x v="0"/>
    <m/>
    <s v="FB budget : 551445597152549"/>
    <n v="500"/>
    <s v="Chandan"/>
    <m/>
  </r>
  <r>
    <n v="339"/>
    <d v="2026-01-08T00:00:00"/>
    <s v="Thursday"/>
    <x v="0"/>
    <s v="FB ads"/>
    <s v="FB budget: 265425466458147"/>
    <n v="5000"/>
    <s v="Account-ArgosMob"/>
    <m/>
  </r>
  <r>
    <n v="340"/>
    <d v="2026-01-08T00:00:00"/>
    <s v="Thursday"/>
    <x v="1"/>
    <m/>
    <s v="Tea+snacks Dec-25"/>
    <n v="3830"/>
    <s v="Account-ArgosMob"/>
    <m/>
  </r>
  <r>
    <n v="341"/>
    <d v="2026-01-08T00:00:00"/>
    <s v="Thursday"/>
    <x v="0"/>
    <m/>
    <s v="FB budget : 551445597152549"/>
    <n v="500"/>
    <s v="Account-ArgosMob"/>
    <m/>
  </r>
  <r>
    <n v="342"/>
    <d v="2026-01-10T00:00:00"/>
    <s v="Saturday"/>
    <x v="1"/>
    <m/>
    <s v="Cursor subscription"/>
    <n v="1881.23"/>
    <s v="Account-ArgosMob"/>
    <m/>
  </r>
  <r>
    <n v="343"/>
    <d v="2026-01-10T00:00:00"/>
    <s v="Saturday"/>
    <x v="5"/>
    <m/>
    <s v="Salary Dec-25 Prachi Lohani"/>
    <n v="25000"/>
    <s v="Account-ArgosMob"/>
    <m/>
  </r>
  <r>
    <n v="344"/>
    <d v="2026-01-10T00:00:00"/>
    <s v="Saturday"/>
    <x v="5"/>
    <m/>
    <s v="Salary Dec-25 Priyanka"/>
    <n v="30000"/>
    <s v="Account-ArgosMob"/>
    <m/>
  </r>
  <r>
    <n v="345"/>
    <d v="2026-01-10T00:00:00"/>
    <s v="Saturday"/>
    <x v="5"/>
    <m/>
    <s v="Salary Dec-25 Parul Sandilya"/>
    <n v="10000"/>
    <s v="Account-ArgosMob"/>
    <m/>
  </r>
  <r>
    <n v="346"/>
    <d v="2026-01-11T00:00:00"/>
    <s v="Sunday"/>
    <x v="1"/>
    <m/>
    <s v="MS office subscription :G132987955"/>
    <n v="57.97"/>
    <s v="Account-ArgosMob"/>
    <m/>
  </r>
  <r>
    <n v="347"/>
    <d v="2026-01-12T00:00:00"/>
    <s v="Monday"/>
    <x v="1"/>
    <m/>
    <s v="Tissue + Double side tape"/>
    <n v="550"/>
    <s v="Rishabh"/>
    <m/>
  </r>
  <r>
    <n v="348"/>
    <d v="2026-01-12T00:00:00"/>
    <s v="Monday"/>
    <x v="0"/>
    <s v="FB ads"/>
    <s v="FB budget: 265425466458147"/>
    <n v="5000"/>
    <s v="Account-ArgosMob"/>
    <m/>
  </r>
  <r>
    <n v="349"/>
    <d v="2026-01-13T00:00:00"/>
    <s v="Tuesday"/>
    <x v="0"/>
    <s v="FB ads"/>
    <s v="FB budget: 265425466458147"/>
    <n v="5000"/>
    <s v="Account-ArgosMob"/>
    <m/>
  </r>
  <r>
    <n v="350"/>
    <d v="2026-01-13T00:00:00"/>
    <s v="Tuesday"/>
    <x v="5"/>
    <m/>
    <s v="Salary Dec-25 Prashant"/>
    <n v="10000"/>
    <s v="Account-ArgosMob"/>
    <m/>
  </r>
  <r>
    <n v="351"/>
    <d v="2026-01-13T00:00:00"/>
    <s v="Tuesday"/>
    <x v="5"/>
    <m/>
    <s v="Pending Salary Dec-25 Parul Sandilya"/>
    <n v="35005.9"/>
    <s v="Account-ArgosMob"/>
    <m/>
  </r>
  <r>
    <n v="352"/>
    <d v="2026-01-13T00:00:00"/>
    <s v="Tuesday"/>
    <x v="1"/>
    <m/>
    <s v="Mobile Recharge"/>
    <n v="1919.86"/>
    <s v="Account-ArgosMob"/>
    <m/>
  </r>
  <r>
    <n v="353"/>
    <d v="2026-01-13T00:00:00"/>
    <s v="Tuesday"/>
    <x v="0"/>
    <s v="FB ads"/>
    <s v="FB budget: 265425466458147"/>
    <n v="5000"/>
    <s v="Account-ArgosMob"/>
    <m/>
  </r>
  <r>
    <n v="354"/>
    <d v="2026-01-14T00:00:00"/>
    <s v="Wednesday"/>
    <x v="1"/>
    <m/>
    <s v="Disposable plates, glass &amp; spoons"/>
    <n v="177"/>
    <s v="Rishabh"/>
    <m/>
  </r>
  <r>
    <n v="355"/>
    <d v="2026-01-14T00:00:00"/>
    <s v="Wednesday"/>
    <x v="0"/>
    <m/>
    <s v="FB budget : 551445597152549"/>
    <n v="500"/>
    <s v="Account-ArgosMob"/>
    <m/>
  </r>
  <r>
    <n v="356"/>
    <d v="2026-01-15T00:00:00"/>
    <s v="Thursday"/>
    <x v="8"/>
    <m/>
    <s v="paid by Vansh for payment for agribook"/>
    <n v="30000"/>
    <s v="Vansh"/>
    <m/>
  </r>
  <r>
    <n v="357"/>
    <d v="2026-01-15T00:00:00"/>
    <s v="Thursday"/>
    <x v="8"/>
    <m/>
    <s v="received from Vansh for payment for agribook"/>
    <n v="-30000"/>
    <s v="Account-ArgosMob"/>
    <m/>
  </r>
  <r>
    <n v="358"/>
    <d v="2026-01-15T00:00:00"/>
    <s v="Thursday"/>
    <x v="17"/>
    <m/>
    <s v="paid for naukri portal for sales hiring"/>
    <n v="1947"/>
    <s v="Account-ArgosMob"/>
    <m/>
  </r>
  <r>
    <n v="359"/>
    <d v="2026-01-15T00:00:00"/>
    <s v="Thursday"/>
    <x v="5"/>
    <m/>
    <s v="Salary Dec-25 Haider"/>
    <n v="45000"/>
    <s v="Account-ArgosMob"/>
    <m/>
  </r>
  <r>
    <n v="360"/>
    <d v="2026-01-15T00:00:00"/>
    <s v="Thursday"/>
    <x v="5"/>
    <m/>
    <s v="Salary Dec-25 Khushi"/>
    <n v="20000"/>
    <s v="Account-ArgosMob"/>
    <m/>
  </r>
  <r>
    <n v="361"/>
    <d v="2026-01-16T00:00:00"/>
    <s v="Friday"/>
    <x v="0"/>
    <s v="FB ads"/>
    <s v="FB budget: 265425466458147"/>
    <n v="3000"/>
    <s v="Account-ArgosMob"/>
    <m/>
  </r>
  <r>
    <n v="362"/>
    <d v="2026-01-17T00:00:00"/>
    <s v="Saturday"/>
    <x v="17"/>
    <m/>
    <s v="Added by DEV for AI subscription"/>
    <n v="-1000"/>
    <s v="Account-ArgosMob"/>
    <m/>
  </r>
  <r>
    <n v="363"/>
    <d v="2026-01-18T00:00:00"/>
    <s v="Sunday"/>
    <x v="6"/>
    <m/>
    <s v="Monthly service charge"/>
    <n v="150"/>
    <s v="Account-ArgosMob"/>
    <m/>
  </r>
  <r>
    <n v="364"/>
    <d v="2026-01-18T00:00:00"/>
    <s v="Sunday"/>
    <x v="6"/>
    <m/>
    <s v="GST=&gt;Monthly service charge"/>
    <n v="27"/>
    <s v="Account-ArgosMob"/>
    <m/>
  </r>
  <r>
    <n v="365"/>
    <d v="2026-01-20T00:00:00"/>
    <s v="Tuesday"/>
    <x v="1"/>
    <m/>
    <s v="Maid Payment: Dec-25"/>
    <n v="1400"/>
    <s v="Account-ArgosMob"/>
    <m/>
  </r>
  <r>
    <n v="366"/>
    <d v="2026-01-20T00:00:00"/>
    <s v="Tuesday"/>
    <x v="15"/>
    <m/>
    <s v="send to chandan for maid payment"/>
    <n v="750"/>
    <s v="Account-KiloWatt"/>
    <m/>
  </r>
  <r>
    <n v="367"/>
    <d v="2026-01-20T00:00:00"/>
    <s v="Tuesday"/>
    <x v="11"/>
    <m/>
    <s v="receieved for maid payment"/>
    <n v="-750"/>
    <s v="Chandan"/>
    <m/>
  </r>
  <r>
    <n v="368"/>
    <d v="2026-01-20T00:00:00"/>
    <s v="Tuesday"/>
    <x v="8"/>
    <m/>
    <s v="send to argomob for maid payment"/>
    <n v="750"/>
    <s v="Chandan"/>
    <m/>
  </r>
  <r>
    <n v="369"/>
    <d v="2026-01-20T00:00:00"/>
    <s v="Tuesday"/>
    <x v="11"/>
    <m/>
    <s v="self withdrawl"/>
    <n v="1000"/>
    <s v="Account-ArgosMob"/>
    <m/>
  </r>
  <r>
    <n v="370"/>
    <d v="2026-01-20T00:00:00"/>
    <s v="Tuesday"/>
    <x v="11"/>
    <m/>
    <s v="self withdrawl"/>
    <n v="-1000"/>
    <s v="Vansh"/>
    <m/>
  </r>
  <r>
    <n v="371"/>
    <d v="2026-01-21T00:00:00"/>
    <s v="Wednesday"/>
    <x v="1"/>
    <m/>
    <s v="Cursor subscription"/>
    <n v="1898.24"/>
    <s v="Account-ArgosMob"/>
    <m/>
  </r>
  <r>
    <n v="372"/>
    <d v="2026-01-21T00:00:00"/>
    <s v="Wednesday"/>
    <x v="1"/>
    <m/>
    <s v="MS office subscription :G135667292"/>
    <n v="359.31"/>
    <s v="Account-ArgosMob"/>
    <m/>
  </r>
  <r>
    <n v="373"/>
    <d v="2026-01-21T00:00:00"/>
    <s v="Wednesday"/>
    <x v="6"/>
    <m/>
    <s v="IMPS charges for self withdrawl"/>
    <n v="2.95"/>
    <s v="Account-ArgosMob"/>
    <m/>
  </r>
  <r>
    <n v="374"/>
    <d v="2026-01-22T00:00:00"/>
    <s v="Thursday"/>
    <x v="1"/>
    <m/>
    <s v="paid for extension cord"/>
    <n v="249"/>
    <s v="Account-ArgosMob"/>
    <m/>
  </r>
  <r>
    <n v="375"/>
    <d v="2026-01-22T00:00:00"/>
    <s v="Thursday"/>
    <x v="1"/>
    <m/>
    <s v="paid for hit and tissues."/>
    <n v="249"/>
    <s v="Account-ArgosMob"/>
    <m/>
  </r>
  <r>
    <n v="376"/>
    <d v="2026-01-22T00:00:00"/>
    <s v="Thursday"/>
    <x v="2"/>
    <m/>
    <s v="ordered lunch"/>
    <n v="160"/>
    <s v="Krishna"/>
    <m/>
  </r>
  <r>
    <n v="377"/>
    <d v="2026-01-22T00:00:00"/>
    <s v="Thursday"/>
    <x v="0"/>
    <m/>
    <s v="FB budget: 265425466458147"/>
    <n v="5000"/>
    <s v="Account-ArgosMob"/>
    <m/>
  </r>
  <r>
    <n v="378"/>
    <d v="2026-01-22T00:00:00"/>
    <s v="Thursday"/>
    <x v="1"/>
    <m/>
    <s v="Mouse pad for Krishna"/>
    <n v="85"/>
    <s v="Rishabh"/>
    <m/>
  </r>
  <r>
    <n v="379"/>
    <d v="2026-01-24T00:00:00"/>
    <s v="Saturday"/>
    <x v="5"/>
    <m/>
    <s v="Paid partial salary to Dev"/>
    <n v="5000"/>
    <s v="Chandan"/>
    <m/>
  </r>
  <r>
    <n v="380"/>
    <d v="2026-01-27T00:00:00"/>
    <s v="Tuesday"/>
    <x v="0"/>
    <m/>
    <s v="FB budget: 265425466458147"/>
    <n v="5000"/>
    <s v="Chandan"/>
    <m/>
  </r>
  <r>
    <n v="381"/>
    <d v="2026-01-27T00:00:00"/>
    <s v="Tuesday"/>
    <x v="1"/>
    <m/>
    <s v="Office Rent Dec-25"/>
    <n v="32000"/>
    <s v="Rishabh"/>
    <m/>
  </r>
  <r>
    <n v="382"/>
    <d v="2026-01-27T00:00:00"/>
    <s v="Tuesday"/>
    <x v="5"/>
    <m/>
    <s v="Salary nov-25 Piyush"/>
    <n v="10000"/>
    <s v="Account-ArgosMob"/>
    <m/>
  </r>
  <r>
    <n v="383"/>
    <d v="2026-01-27T00:00:00"/>
    <s v="Tuesday"/>
    <x v="8"/>
    <m/>
    <s v="Paid against fund received from Venkat"/>
    <n v="18000"/>
    <s v="Rishabh"/>
    <m/>
  </r>
  <r>
    <n v="384"/>
    <d v="2026-01-27T00:00:00"/>
    <s v="Tuesday"/>
    <x v="8"/>
    <m/>
    <s v="Received against fund received from Venkat"/>
    <n v="-18000"/>
    <s v="Account-ArgosMob"/>
    <m/>
  </r>
  <r>
    <n v="385"/>
    <d v="2026-01-27T00:00:00"/>
    <s v="Tuesday"/>
    <x v="18"/>
    <m/>
    <s v="Misc charges"/>
    <n v="73.470000000112094"/>
    <s v="Account-ArgosMob"/>
    <m/>
  </r>
  <r>
    <n v="386"/>
    <d v="2026-01-27T00:00:00"/>
    <s v="Tuesday"/>
    <x v="11"/>
    <m/>
    <s v="Self withdrawl"/>
    <n v="-87"/>
    <s v="Rishabh"/>
    <m/>
  </r>
  <r>
    <n v="387"/>
    <d v="2026-01-27T00:00:00"/>
    <s v="Tuesday"/>
    <x v="11"/>
    <m/>
    <s v="Self withdrawl"/>
    <n v="87"/>
    <s v="Cash"/>
    <m/>
  </r>
  <r>
    <n v="388"/>
    <d v="2026-01-27T00:00:00"/>
    <s v="Tuesday"/>
    <x v="6"/>
    <m/>
    <s v="Maintenance Monthly charges: Kilowatt"/>
    <n v="118"/>
    <s v="Account-KiloWatt"/>
    <m/>
  </r>
  <r>
    <n v="389"/>
    <d v="2026-01-27T00:00:00"/>
    <s v="Tuesday"/>
    <x v="11"/>
    <m/>
    <s v="Self withdrawl"/>
    <n v="-3.3"/>
    <s v="Rishabh"/>
    <m/>
  </r>
  <r>
    <n v="390"/>
    <d v="2026-01-27T00:00:00"/>
    <s v="Tuesday"/>
    <x v="11"/>
    <m/>
    <s v="Self withdrawl"/>
    <n v="3.3"/>
    <s v="Account-KiloWatt"/>
    <m/>
  </r>
  <r>
    <n v="391"/>
    <d v="2026-01-27T00:00:00"/>
    <s v="Tuesday"/>
    <x v="11"/>
    <m/>
    <s v="Self withdrawl"/>
    <n v="-1518.44354166671"/>
    <s v="Rishabh"/>
    <m/>
  </r>
  <r>
    <n v="392"/>
    <d v="2026-01-27T00:00:00"/>
    <s v="Tuesday"/>
    <x v="11"/>
    <m/>
    <s v="Self withdrawl"/>
    <n v="-6884.7235416666999"/>
    <s v="Chandan"/>
    <m/>
  </r>
  <r>
    <n v="393"/>
    <d v="2026-01-27T00:00:00"/>
    <s v="Tuesday"/>
    <x v="11"/>
    <m/>
    <s v="Self withdrawl"/>
    <n v="-687.74354166671401"/>
    <s v="Krishna"/>
    <m/>
  </r>
  <r>
    <n v="394"/>
    <d v="2026-01-27T00:00:00"/>
    <s v="Tuesday"/>
    <x v="11"/>
    <m/>
    <s v="Self withdrawl"/>
    <n v="-357.73937499982998"/>
    <s v="Vansh"/>
    <m/>
  </r>
  <r>
    <n v="395"/>
    <d v="2026-01-27T00:00:00"/>
    <s v="Tuesday"/>
    <x v="11"/>
    <m/>
    <s v="Self withdrawl"/>
    <n v="1518.4435416667141"/>
    <s v="Account-ArgosMob"/>
    <m/>
  </r>
  <r>
    <n v="396"/>
    <d v="2026-01-27T00:00:00"/>
    <s v="Tuesday"/>
    <x v="11"/>
    <m/>
    <s v="Self withdrawl"/>
    <n v="6884.7235416666954"/>
    <s v="Account-ArgosMob"/>
    <m/>
  </r>
  <r>
    <n v="397"/>
    <d v="2026-01-27T00:00:00"/>
    <s v="Tuesday"/>
    <x v="11"/>
    <m/>
    <s v="Self withdrawl"/>
    <n v="687.74354166671401"/>
    <s v="Account-ArgosMob"/>
    <m/>
  </r>
  <r>
    <n v="398"/>
    <d v="2026-01-27T00:00:00"/>
    <s v="Tuesday"/>
    <x v="11"/>
    <m/>
    <s v="Self withdrawl"/>
    <n v="357.73937499983003"/>
    <s v="Account-ArgosMob"/>
    <m/>
  </r>
  <r>
    <n v="399"/>
    <d v="2026-01-29T00:00:00"/>
    <s v="Thursday"/>
    <x v="13"/>
    <m/>
    <s v="Dinner"/>
    <n v="3848"/>
    <s v="Chandan"/>
    <m/>
  </r>
  <r>
    <n v="400"/>
    <d v="2026-01-29T00:00:00"/>
    <s v="Thursday"/>
    <x v="13"/>
    <m/>
    <s v="Lunch"/>
    <n v="2042"/>
    <s v="Chandan"/>
    <m/>
  </r>
  <r>
    <n v="401"/>
    <d v="2026-01-29T00:00:00"/>
    <s v="Thursday"/>
    <x v="13"/>
    <m/>
    <s v="Chakna"/>
    <n v="345"/>
    <s v="Rishabh"/>
    <m/>
  </r>
  <r>
    <n v="402"/>
    <d v="2026-01-29T00:00:00"/>
    <s v="Thursday"/>
    <x v="19"/>
    <m/>
    <s v="Received from Chadha ji as equity"/>
    <n v="200350"/>
    <s v="Dr Chadha"/>
    <m/>
  </r>
  <r>
    <n v="403"/>
    <d v="2026-01-29T00:00:00"/>
    <s v="Thursday"/>
    <x v="20"/>
    <m/>
    <s v="Received from Chadha ji as Loan"/>
    <n v="100150"/>
    <s v="Dr Chadha"/>
    <m/>
  </r>
  <r>
    <n v="404"/>
    <d v="2026-01-29T00:00:00"/>
    <s v="Thursday"/>
    <x v="19"/>
    <m/>
    <s v="Paid By Chadha ji as equity"/>
    <n v="-200350"/>
    <s v="Cash"/>
    <m/>
  </r>
  <r>
    <n v="405"/>
    <d v="2026-01-29T00:00:00"/>
    <s v="Thursday"/>
    <x v="20"/>
    <m/>
    <s v="Paid By Chadha ji as Loan"/>
    <n v="-100150"/>
    <s v="Cash"/>
    <m/>
  </r>
  <r>
    <n v="406"/>
    <d v="2026-01-30T00:00:00"/>
    <s v="Friday"/>
    <x v="13"/>
    <m/>
    <s v="Coffee"/>
    <n v="250"/>
    <s v="Chandan"/>
    <m/>
  </r>
  <r>
    <n v="407"/>
    <d v="2026-01-30T00:00:00"/>
    <s v="Friday"/>
    <x v="13"/>
    <m/>
    <s v="Belt"/>
    <n v="477"/>
    <s v="Krishna"/>
    <m/>
  </r>
  <r>
    <n v="408"/>
    <d v="2026-01-30T00:00:00"/>
    <s v="Friday"/>
    <x v="5"/>
    <m/>
    <s v="Salary Dec-25 Dev kumar Sharma"/>
    <n v="36000"/>
    <s v="Cash"/>
    <m/>
  </r>
  <r>
    <n v="409"/>
    <d v="2026-01-31T00:00:00"/>
    <s v="Saturday"/>
    <x v="13"/>
    <m/>
    <s v="Breakfast with Venkat"/>
    <n v="372.76"/>
    <s v="Chandan"/>
    <m/>
  </r>
  <r>
    <n v="410"/>
    <d v="2026-01-31T00:00:00"/>
    <s v="Saturday"/>
    <x v="1"/>
    <m/>
    <s v="Paid for VPS"/>
    <n v="883.82"/>
    <s v="Rishabh"/>
    <m/>
  </r>
  <r>
    <n v="411"/>
    <d v="2026-02-02T00:00:00"/>
    <s v="Monday"/>
    <x v="16"/>
    <m/>
    <s v="To be paid to consultant for Anup hiring"/>
    <n v="7500"/>
    <s v="Chandan"/>
    <m/>
  </r>
  <r>
    <n v="412"/>
    <d v="2026-02-02T00:00:00"/>
    <s v="Monday"/>
    <x v="1"/>
    <m/>
    <s v="Paid for coffee and stationary"/>
    <n v="376"/>
    <s v="Chandan"/>
    <m/>
  </r>
  <r>
    <n v="413"/>
    <d v="2026-02-02T00:00:00"/>
    <s v="Monday"/>
    <x v="1"/>
    <m/>
    <s v="Paid for SIM JIO"/>
    <n v="349"/>
    <s v="Rishabh"/>
    <m/>
  </r>
  <r>
    <n v="414"/>
    <d v="2026-02-02T00:00:00"/>
    <s v="Monday"/>
    <x v="1"/>
    <m/>
    <s v="Paid for SIM JIO"/>
    <n v="349"/>
    <s v="Rishabh"/>
    <m/>
  </r>
  <r>
    <n v="415"/>
    <d v="2026-02-02T00:00:00"/>
    <s v="Monday"/>
    <x v="1"/>
    <m/>
    <s v="paid for water bill"/>
    <n v="440"/>
    <s v="Rishabh"/>
    <m/>
  </r>
  <r>
    <n v="416"/>
    <d v="2026-02-02T00:00:00"/>
    <s v="Monday"/>
    <x v="1"/>
    <m/>
    <s v="Paid for canteen for Jan -2026"/>
    <n v="4890"/>
    <s v="Cash"/>
    <m/>
  </r>
  <r>
    <n v="417"/>
    <d v="2026-02-02T00:00:00"/>
    <s v="Monday"/>
    <x v="1"/>
    <m/>
    <s v="Paid for Domain : argosmob.site"/>
    <n v="125.6"/>
    <s v="Rishabh"/>
    <m/>
  </r>
  <r>
    <n v="418"/>
    <d v="2026-02-02T00:00:00"/>
    <s v="Monday"/>
    <x v="11"/>
    <m/>
    <s v="withdrawl for comission to consultant for Anup hiring"/>
    <n v="7500"/>
    <s v="Cash"/>
    <m/>
  </r>
  <r>
    <n v="419"/>
    <d v="2026-02-02T00:00:00"/>
    <s v="Monday"/>
    <x v="11"/>
    <m/>
    <s v="Received for comission to consultant for Anup hiring"/>
    <n v="-7500"/>
    <s v="Chandan"/>
    <m/>
  </r>
  <r>
    <n v="420"/>
    <d v="2026-02-03T00:00:00"/>
    <s v="Tuesday"/>
    <x v="1"/>
    <m/>
    <s v="Paid for SIM JIO"/>
    <n v="349"/>
    <s v="Rishabh"/>
    <m/>
  </r>
  <r>
    <n v="421"/>
    <d v="2026-02-04T00:00:00"/>
    <s v="Wednesday"/>
    <x v="1"/>
    <m/>
    <s v="Paid for hiring on Apna Hai portal"/>
    <n v="590"/>
    <s v="Rishabh"/>
    <m/>
  </r>
  <r>
    <n v="422"/>
    <d v="2026-02-05T00:00:00"/>
    <s v="Thursday"/>
    <x v="0"/>
    <m/>
    <s v="FB budget: 265425466458147=&gt;Paid to chandan"/>
    <n v="10000"/>
    <s v="Account-KiloWatt"/>
    <m/>
  </r>
  <r>
    <n v="423"/>
    <d v="2026-02-05T00:00:00"/>
    <s v="Thursday"/>
    <x v="0"/>
    <m/>
    <s v="Paid for Google ads: 672-050-7427=&gt; Paid to Chandan"/>
    <n v="10000"/>
    <s v="Account-KiloWatt"/>
    <m/>
  </r>
  <r>
    <n v="424"/>
    <d v="2026-02-05T00:00:00"/>
    <s v="Thursday"/>
    <x v="0"/>
    <m/>
    <s v="FB budget: 265425466458147"/>
    <n v="-10000"/>
    <s v="Chandan"/>
    <m/>
  </r>
  <r>
    <n v="425"/>
    <d v="2026-02-05T00:00:00"/>
    <s v="Thursday"/>
    <x v="0"/>
    <m/>
    <s v="Paid for Google ads: 672-050-7427"/>
    <n v="-10000"/>
    <s v="Chandan"/>
    <m/>
  </r>
  <r>
    <n v="426"/>
    <d v="2026-02-05T00:00:00"/>
    <s v="Thursday"/>
    <x v="0"/>
    <m/>
    <s v="FB budget: 265425466458147"/>
    <n v="10000"/>
    <s v="Chandan"/>
    <m/>
  </r>
  <r>
    <n v="427"/>
    <d v="2026-02-05T00:00:00"/>
    <s v="Thursday"/>
    <x v="0"/>
    <m/>
    <s v="Paid for Google ads: 672-050-7427"/>
    <n v="10000"/>
    <s v="Chandan"/>
    <m/>
  </r>
  <r>
    <n v="428"/>
    <d v="2026-02-05T00:00:00"/>
    <s v="Thursday"/>
    <x v="2"/>
    <m/>
    <s v="Samosa and Jira for team"/>
    <n v="300"/>
    <s v="Chandan"/>
    <m/>
  </r>
  <r>
    <n v="429"/>
    <d v="2026-02-05T00:00:00"/>
    <s v="Thursday"/>
    <x v="17"/>
    <m/>
    <s v="Paid for electricity =&gt; 618"/>
    <n v="5000"/>
    <s v="Account-KiloWatt"/>
    <m/>
  </r>
  <r>
    <n v="430"/>
    <d v="2026-02-05T00:00:00"/>
    <s v="Thursday"/>
    <x v="17"/>
    <m/>
    <s v="received for electricity"/>
    <n v="-5000"/>
    <s v="Rishabh"/>
    <m/>
  </r>
  <r>
    <n v="431"/>
    <d v="2026-02-05T00:00:00"/>
    <s v="Thursday"/>
    <x v="17"/>
    <m/>
    <s v="Paid for electricity =&gt; 618"/>
    <n v="5000"/>
    <s v="Rishabh"/>
    <m/>
  </r>
  <r>
    <n v="432"/>
    <d v="2026-02-06T00:00:00"/>
    <s v="Friday"/>
    <x v="1"/>
    <m/>
    <s v="Paid for Rent Agreement"/>
    <n v="350"/>
    <s v="Chandan"/>
    <m/>
  </r>
  <r>
    <n v="433"/>
    <d v="2026-02-07T00:00:00"/>
    <s v="Saturday"/>
    <x v="1"/>
    <m/>
    <s v="Paid for esign"/>
    <n v="17.7"/>
    <s v="Chandan"/>
    <m/>
  </r>
  <r>
    <n v="434"/>
    <d v="2026-02-07T00:00:00"/>
    <s v="Saturday"/>
    <x v="1"/>
    <m/>
    <s v="Paid for Penalty to CA for MCA"/>
    <n v="3300"/>
    <s v="Chandan"/>
    <m/>
  </r>
  <r>
    <n v="435"/>
    <d v="2026-02-07T00:00:00"/>
    <s v="Saturday"/>
    <x v="1"/>
    <m/>
    <s v="Received by Chandan for CA paid to MCA"/>
    <n v="-3300"/>
    <s v="Chandan"/>
    <m/>
  </r>
  <r>
    <n v="436"/>
    <d v="2026-02-07T00:00:00"/>
    <s v="Saturday"/>
    <x v="1"/>
    <m/>
    <s v="Paid for Chandan for CA paid to MCA"/>
    <n v="3300"/>
    <s v="Account-KiloWatt"/>
    <m/>
  </r>
  <r>
    <n v="437"/>
    <d v="2026-02-07T00:00:00"/>
    <s v="Saturday"/>
    <x v="1"/>
    <m/>
    <s v="Paid for Penalty to CA for MCA"/>
    <n v="900"/>
    <s v="Chandan"/>
    <m/>
  </r>
  <r>
    <n v="438"/>
    <d v="2026-02-07T00:00:00"/>
    <s v="Saturday"/>
    <x v="1"/>
    <m/>
    <s v="Received by Chandan for CA paid to MCA"/>
    <n v="-900"/>
    <s v="Chandan"/>
    <m/>
  </r>
  <r>
    <n v="439"/>
    <d v="2026-02-07T00:00:00"/>
    <s v="Saturday"/>
    <x v="1"/>
    <m/>
    <s v="Paid for Chandan for CA paid to MCA"/>
    <n v="900"/>
    <s v="Account-KiloWatt"/>
    <m/>
  </r>
  <r>
    <n v="440"/>
    <d v="2026-02-07T00:00:00"/>
    <s v="Saturday"/>
    <x v="1"/>
    <m/>
    <s v="Paid for Chandan for CA paid to MCA"/>
    <n v="300"/>
    <s v="Chandan"/>
    <m/>
  </r>
  <r>
    <n v="441"/>
    <d v="2026-02-09T00:00:00"/>
    <s v="Monday"/>
    <x v="8"/>
    <m/>
    <s v="Self funding for linkedin post for sales hiring"/>
    <n v="500"/>
    <s v="Chandan"/>
    <m/>
  </r>
  <r>
    <n v="442"/>
    <d v="2026-02-09T00:00:00"/>
    <s v="Monday"/>
    <x v="8"/>
    <m/>
    <s v="Self funding for linkedin post for sales hiring"/>
    <n v="125"/>
    <s v="Chandan"/>
    <m/>
  </r>
  <r>
    <n v="443"/>
    <d v="2026-02-09T00:00:00"/>
    <s v="Monday"/>
    <x v="8"/>
    <m/>
    <s v="Self funding for linkedin post for sales hiring"/>
    <n v="-500"/>
    <s v="Account-ArgosMob"/>
    <m/>
  </r>
  <r>
    <n v="444"/>
    <d v="2026-02-09T00:00:00"/>
    <s v="Monday"/>
    <x v="8"/>
    <m/>
    <s v="Self funding for linkedin post for sales hiring"/>
    <n v="-125"/>
    <s v="Account-ArgosMob"/>
    <m/>
  </r>
  <r>
    <n v="445"/>
    <d v="2026-02-09T00:00:00"/>
    <s v="Monday"/>
    <x v="17"/>
    <m/>
    <s v="Paid for Dubey Laptop"/>
    <n v="30500"/>
    <s v="Chandan"/>
    <m/>
  </r>
  <r>
    <n v="446"/>
    <d v="2026-02-10T00:00:00"/>
    <s v="Tuesday"/>
    <x v="5"/>
    <m/>
    <s v="Salary for Jan-26 =&gt;Prashant"/>
    <n v="10000"/>
    <s v="Account-KiloWatt"/>
    <m/>
  </r>
  <r>
    <n v="447"/>
    <d v="2026-02-10T00:00:00"/>
    <s v="Tuesday"/>
    <x v="5"/>
    <m/>
    <s v="Salary for Jan-26 =&gt;Anoop"/>
    <n v="7500"/>
    <s v="Account-KiloWatt"/>
    <m/>
  </r>
  <r>
    <n v="448"/>
    <d v="2026-02-10T00:00:00"/>
    <s v="Tuesday"/>
    <x v="5"/>
    <m/>
    <s v="Salary for Jan-26 =&gt;Shubham Dubey"/>
    <n v="8667"/>
    <s v="Account-KiloWatt"/>
    <m/>
  </r>
  <r>
    <n v="449"/>
    <d v="2026-02-10T00:00:00"/>
    <s v="Tuesday"/>
    <x v="5"/>
    <m/>
    <s v="Salary for Jan-26 =&gt;Ishika Sharma"/>
    <n v="14167"/>
    <s v="Account-KiloWatt"/>
    <m/>
  </r>
  <r>
    <n v="450"/>
    <d v="2026-02-10T00:00:00"/>
    <s v="Tuesday"/>
    <x v="5"/>
    <m/>
    <s v="Salary for Jan-26 =&gt;Prachi Lohani"/>
    <n v="25000"/>
    <s v="Account-KiloWatt"/>
    <m/>
  </r>
  <r>
    <n v="451"/>
    <d v="2026-02-10T00:00:00"/>
    <s v="Tuesday"/>
    <x v="5"/>
    <m/>
    <s v="Salary for Jan-26 =&gt;Priyanka"/>
    <n v="30000"/>
    <s v="Account-KiloWatt"/>
    <m/>
  </r>
  <r>
    <n v="452"/>
    <d v="2026-02-10T00:00:00"/>
    <s v="Tuesday"/>
    <x v="5"/>
    <m/>
    <s v="Director Salary =&gt; Chandan(Jan- 2026)"/>
    <n v="25000"/>
    <s v="Cash"/>
    <m/>
  </r>
  <r>
    <n v="453"/>
    <d v="2026-02-10T00:00:00"/>
    <s v="Tuesday"/>
    <x v="5"/>
    <m/>
    <s v="Director Salary =&gt; Rishabh(Jan - 2026)"/>
    <n v="25000"/>
    <s v="Cash"/>
    <m/>
  </r>
  <r>
    <n v="454"/>
    <d v="2026-02-10T00:00:00"/>
    <s v="Tuesday"/>
    <x v="5"/>
    <m/>
    <s v="Director Salary =&gt; Krishna(Jan- 2026)"/>
    <n v="25000"/>
    <s v="Cash"/>
    <m/>
  </r>
  <r>
    <n v="455"/>
    <d v="2026-02-10T00:00:00"/>
    <s v="Tuesday"/>
    <x v="5"/>
    <m/>
    <s v="Director Salary =&gt; Vansh(Jan - 2026)"/>
    <n v="25000"/>
    <s v="Cash"/>
    <m/>
  </r>
  <r>
    <n v="456"/>
    <d v="2026-02-10T00:00:00"/>
    <s v="Tuesday"/>
    <x v="17"/>
    <m/>
    <s v="Salary for Jan-26 =&gt;Haider"/>
    <n v="37500"/>
    <s v="Account-KiloWatt"/>
    <m/>
  </r>
  <r>
    <n v="457"/>
    <d v="2026-02-10T00:00:00"/>
    <s v="Tuesday"/>
    <x v="17"/>
    <m/>
    <s v="Salary for Jan-26 =&gt;Dev kumar Sharma"/>
    <n v="40000"/>
    <s v="Account-KiloWatt"/>
    <m/>
  </r>
  <r>
    <n v="458"/>
    <d v="2026-02-10T00:00:00"/>
    <s v="Tuesday"/>
    <x v="17"/>
    <m/>
    <s v="Paid for amount received from NGK"/>
    <n v="30000"/>
    <s v="Chandan"/>
    <m/>
  </r>
  <r>
    <n v="459"/>
    <d v="2026-02-10T00:00:00"/>
    <s v="Tuesday"/>
    <x v="17"/>
    <m/>
    <s v="Paid for amount received from NGK"/>
    <n v="45000"/>
    <s v="Chandan"/>
    <m/>
  </r>
  <r>
    <n v="460"/>
    <d v="2026-02-10T00:00:00"/>
    <s v="Tuesday"/>
    <x v="17"/>
    <m/>
    <s v="Received for amount received from NGK"/>
    <n v="-30000"/>
    <s v="Account-KiloWatt"/>
    <m/>
  </r>
  <r>
    <n v="461"/>
    <d v="2026-02-10T00:00:00"/>
    <s v="Tuesday"/>
    <x v="17"/>
    <m/>
    <s v="Received for amount received from NGK"/>
    <n v="-45000"/>
    <s v="Account-KiloWatt"/>
    <m/>
  </r>
  <r>
    <n v="462"/>
    <d v="2026-02-12T00:00:00"/>
    <s v="Thursday"/>
    <x v="5"/>
    <m/>
    <s v="Director Salary =&gt; Dr Chadha(Feb - 2026)"/>
    <n v="25000"/>
    <m/>
    <m/>
  </r>
  <r>
    <n v="463"/>
    <d v="2026-02-12T00:00:00"/>
    <s v="Thursday"/>
    <x v="17"/>
    <m/>
    <s v="Received from Dubey"/>
    <n v="-5000"/>
    <s v="Chandan"/>
    <m/>
  </r>
  <r>
    <n v="464"/>
    <d v="2026-02-12T00:00:00"/>
    <s v="Thursday"/>
    <x v="1"/>
    <m/>
    <s v="Paid for Fan*2"/>
    <n v="4000"/>
    <s v="Cash"/>
    <m/>
  </r>
  <r>
    <n v="465"/>
    <d v="2026-02-13T00:00:00"/>
    <s v="Friday"/>
    <x v="11"/>
    <m/>
    <s v="FB budget: 265425466458147=&gt;Paid to chandan"/>
    <n v="20000"/>
    <s v="Account-KiloWatt"/>
    <m/>
  </r>
  <r>
    <n v="466"/>
    <d v="2026-02-13T00:00:00"/>
    <s v="Friday"/>
    <x v="11"/>
    <m/>
    <s v="Received for FB budget: 265425466458147"/>
    <n v="-20000"/>
    <s v="Chandan"/>
    <m/>
  </r>
  <r>
    <n v="467"/>
    <d v="2026-02-13T00:00:00"/>
    <s v="Friday"/>
    <x v="0"/>
    <m/>
    <s v="FB budget: 265425466458147"/>
    <n v="20000"/>
    <s v="Chandan"/>
    <m/>
  </r>
  <r>
    <n v="468"/>
    <d v="2026-02-13T00:00:00"/>
    <s v="Friday"/>
    <x v="17"/>
    <m/>
    <s v="Self fund for client fund received"/>
    <n v="50000"/>
    <s v="Rishabh"/>
    <m/>
  </r>
  <r>
    <n v="469"/>
    <d v="2026-02-13T00:00:00"/>
    <s v="Friday"/>
    <x v="17"/>
    <m/>
    <s v="Self funding"/>
    <n v="-50000"/>
    <s v="Account-KiloWatt"/>
    <m/>
  </r>
  <r>
    <n v="470"/>
    <d v="2026-02-13T00:00:00"/>
    <s v="Friday"/>
    <x v="1"/>
    <m/>
    <s v="paid for maid"/>
    <n v="1400"/>
    <s v="Account-KiloWatt"/>
    <m/>
  </r>
  <r>
    <n v="471"/>
    <d v="2026-02-16T00:00:00"/>
    <s v="Monday"/>
    <x v="1"/>
    <m/>
    <s v="paid to CA for MCA"/>
    <n v="1000"/>
    <s v="Chandan"/>
    <m/>
  </r>
  <r>
    <n v="472"/>
    <d v="2026-02-16T00:00:00"/>
    <s v="Monday"/>
    <x v="1"/>
    <m/>
    <s v="paid to CA for MCA"/>
    <n v="1000"/>
    <s v="Account-KiloWatt"/>
    <m/>
  </r>
  <r>
    <n v="473"/>
    <d v="2026-02-16T00:00:00"/>
    <s v="Monday"/>
    <x v="1"/>
    <m/>
    <s v="paid to CA for MCA"/>
    <n v="-1000"/>
    <s v="Chandan"/>
    <m/>
  </r>
  <r>
    <n v="474"/>
    <d v="2026-02-16T00:00:00"/>
    <s v="Monday"/>
    <x v="19"/>
    <m/>
    <s v="Received from Chadha ji as equity"/>
    <n v="233333.33333333331"/>
    <s v="Dr Chadha"/>
    <m/>
  </r>
  <r>
    <n v="475"/>
    <d v="2026-02-16T00:00:00"/>
    <s v="Monday"/>
    <x v="20"/>
    <m/>
    <s v="Received from Chadha ji as Loan"/>
    <n v="116666.66666666701"/>
    <s v="Dr Chadha"/>
    <m/>
  </r>
  <r>
    <n v="476"/>
    <d v="2026-02-16T00:00:00"/>
    <s v="Monday"/>
    <x v="19"/>
    <m/>
    <s v="Paid By Chadha ji as equity"/>
    <n v="-233333.33333333299"/>
    <s v="Account-KiloWatt"/>
    <m/>
  </r>
  <r>
    <n v="477"/>
    <d v="2026-02-16T00:00:00"/>
    <s v="Monday"/>
    <x v="20"/>
    <m/>
    <s v="Paid By Chadha ji as Loan"/>
    <n v="-116666.66666666701"/>
    <s v="Account-KiloWatt"/>
    <m/>
  </r>
  <r>
    <n v="478"/>
    <d v="2026-02-17T00:00:00"/>
    <s v="Tuesday"/>
    <x v="17"/>
    <m/>
    <s v="Paid for airtel recharge"/>
    <n v="1826.64"/>
    <s v="Account-KiloWatt"/>
    <m/>
  </r>
  <r>
    <n v="479"/>
    <d v="2026-02-17T00:00:00"/>
    <s v="Tuesday"/>
    <x v="17"/>
    <m/>
    <s v="Paid for airtel recharge"/>
    <n v="-1826.64"/>
    <s v="Rishabh"/>
    <m/>
  </r>
  <r>
    <n v="480"/>
    <d v="2026-02-17T00:00:00"/>
    <s v="Tuesday"/>
    <x v="17"/>
    <m/>
    <s v="Paid for airtel recharge"/>
    <n v="1826.64"/>
    <s v="Rishabh"/>
    <m/>
  </r>
  <r>
    <n v="481"/>
    <d v="2026-02-17T00:00:00"/>
    <s v="Tuesday"/>
    <x v="17"/>
    <m/>
    <s v="paid for table fan "/>
    <n v="1911"/>
    <s v="Chandan"/>
    <m/>
  </r>
  <r>
    <n v="482"/>
    <d v="2026-02-17T00:00:00"/>
    <s v="Tuesday"/>
    <x v="17"/>
    <m/>
    <s v="received for table fan for AC"/>
    <n v="-1911"/>
    <s v="Chandan"/>
    <m/>
  </r>
  <r>
    <n v="483"/>
    <d v="2026-02-17T00:00:00"/>
    <s v="Tuesday"/>
    <x v="17"/>
    <m/>
    <s v="paid for table fan"/>
    <n v="1911"/>
    <s v="Account-KiloWatt"/>
    <m/>
  </r>
  <r>
    <n v="484"/>
    <d v="2026-02-17T00:00:00"/>
    <s v="Tuesday"/>
    <x v="6"/>
    <m/>
    <s v="gateway charges for real estate client"/>
    <n v="552.2400000000016"/>
    <s v="Chandan"/>
    <m/>
  </r>
  <r>
    <n v="485"/>
    <d v="2026-02-18T00:00:00"/>
    <s v="Wednesday"/>
    <x v="17"/>
    <m/>
    <s v="sent to argosmob"/>
    <n v="20000"/>
    <s v="Account-KiloWatt"/>
    <m/>
  </r>
  <r>
    <n v="486"/>
    <d v="2026-02-18T00:00:00"/>
    <s v="Wednesday"/>
    <x v="17"/>
    <m/>
    <s v="received from kilowatt"/>
    <n v="-20000"/>
    <s v="Account-ArgosMob"/>
    <m/>
  </r>
  <r>
    <n v="487"/>
    <d v="2026-02-18T00:00:00"/>
    <s v="Wednesday"/>
    <x v="1"/>
    <m/>
    <s v="Rent for Feb 26"/>
    <n v="16000"/>
    <s v="Account-KiloWatt"/>
    <m/>
  </r>
  <r>
    <n v="488"/>
    <d v="2026-02-18T00:00:00"/>
    <s v="Wednesday"/>
    <x v="1"/>
    <m/>
    <s v="Rent for Feb 26"/>
    <n v="16000"/>
    <s v="Account-KiloWatt"/>
    <m/>
  </r>
  <r>
    <n v="489"/>
    <d v="2026-02-18T00:00:00"/>
    <s v="Wednesday"/>
    <x v="0"/>
    <m/>
    <s v="FB budget: 265425466458147"/>
    <n v="20000"/>
    <s v="Chandan"/>
    <m/>
  </r>
  <r>
    <n v="490"/>
    <d v="2026-02-19T00:00:00"/>
    <s v="Thursday"/>
    <x v="1"/>
    <m/>
    <s v="Paid to Maid =&gt; For cash requirement"/>
    <n v="3000"/>
    <s v="Cash"/>
    <m/>
  </r>
  <r>
    <n v="491"/>
    <d v="2026-02-19T00:00:00"/>
    <s v="Thursday"/>
    <x v="11"/>
    <m/>
    <s v="Received by Rishabh from maid"/>
    <n v="-3000"/>
    <s v="Rishabh"/>
    <m/>
  </r>
  <r>
    <n v="492"/>
    <d v="2026-02-19T00:00:00"/>
    <s v="Thursday"/>
    <x v="1"/>
    <m/>
    <s v="Linked in hiring plan"/>
    <n v="1161.6199999999999"/>
    <s v="Account-ArgosMob"/>
    <m/>
  </r>
  <r>
    <n v="493"/>
    <d v="2026-02-20T00:00:00"/>
    <s v="Friday"/>
    <x v="1"/>
    <m/>
    <s v="Lunch with Client=&gt; Venkat"/>
    <n v="713"/>
    <s v="Cash"/>
    <m/>
  </r>
  <r>
    <n v="494"/>
    <d v="2026-02-20T00:00:00"/>
    <s v="Friday"/>
    <x v="1"/>
    <m/>
    <s v="Marker &amp; Battery"/>
    <n v="94"/>
    <s v="Cash"/>
    <m/>
  </r>
  <r>
    <n v="495"/>
    <d v="2026-02-20T00:00:00"/>
    <s v="Friday"/>
    <x v="1"/>
    <m/>
    <s v="Screwdriver Set"/>
    <n v="177"/>
    <s v="Rishabh"/>
    <m/>
  </r>
  <r>
    <n v="496"/>
    <d v="2026-02-20T00:00:00"/>
    <s v="Friday"/>
    <x v="11"/>
    <m/>
    <s v="Self Withdrawl =&gt; Vansh"/>
    <n v="18000"/>
    <s v="Cash"/>
    <m/>
  </r>
  <r>
    <n v="497"/>
    <d v="2026-02-20T00:00:00"/>
    <s v="Friday"/>
    <x v="11"/>
    <m/>
    <s v="Self Withdrawl =&gt; Vansh"/>
    <n v="-18000"/>
    <s v="Vansh"/>
    <m/>
  </r>
  <r>
    <n v="498"/>
    <d v="2026-02-20T00:00:00"/>
    <s v="Friday"/>
    <x v="1"/>
    <m/>
    <s v="Microsoft 365 subscription : G141352109"/>
    <n v="359.31"/>
    <s v="Account-ArgosMob"/>
    <m/>
  </r>
  <r>
    <n v="499"/>
    <d v="2026-02-21T00:00:00"/>
    <s v="Saturday"/>
    <x v="8"/>
    <m/>
    <s v="Transferrred to KiloWatt received from Venkat Sir"/>
    <n v="50000"/>
    <s v="Rishabh"/>
    <m/>
  </r>
  <r>
    <n v="500"/>
    <d v="2026-02-21T00:00:00"/>
    <s v="Saturday"/>
    <x v="8"/>
    <m/>
    <s v="Transferrred to KiloWatt received from Venkat Sir"/>
    <n v="-50000"/>
    <s v="Account-KiloWatt"/>
    <m/>
  </r>
  <r>
    <n v="501"/>
    <d v="2026-02-21T00:00:00"/>
    <s v="Saturday"/>
    <x v="6"/>
    <m/>
    <s v="For Monthly service charge : Argosmob current account"/>
    <n v="187"/>
    <s v="Account-ArgosMob"/>
    <m/>
  </r>
  <r>
    <n v="502"/>
    <d v="2026-02-21T00:00:00"/>
    <s v="Saturday"/>
    <x v="6"/>
    <m/>
    <s v="For Monthly Avg balance charge : Argosmob current account"/>
    <n v="1180"/>
    <s v="Account-ArgosMob"/>
    <m/>
  </r>
  <r>
    <n v="503"/>
    <d v="2026-02-21T00:00:00"/>
    <s v="Saturday"/>
    <x v="6"/>
    <m/>
    <s v="For debit card Annual charge : Argosmob current account"/>
    <n v="590"/>
    <s v="Account-ArgosMob"/>
    <m/>
  </r>
  <r>
    <n v="504"/>
    <d v="2026-02-21T00:00:00"/>
    <s v="Saturday"/>
    <x v="17"/>
    <m/>
    <s v="Paid for 2nd line subscription =&gt; US calling"/>
    <n v="1199"/>
    <s v="Account-ArgosMob"/>
    <m/>
  </r>
  <r>
    <n v="505"/>
    <d v="2026-02-21T00:00:00"/>
    <s v="Saturday"/>
    <x v="6"/>
    <m/>
    <s v="Monthly banking charges"/>
    <n v="118"/>
    <s v="Account-KiloWatt"/>
    <m/>
  </r>
  <r>
    <n v="506"/>
    <d v="2026-02-23T00:00:00"/>
    <s v="Monday"/>
    <x v="17"/>
    <m/>
    <s v="Samosa for team"/>
    <n v="530"/>
    <s v="Rishabh"/>
    <m/>
  </r>
  <r>
    <n v="507"/>
    <d v="2026-02-24T00:00:00"/>
    <s v="Tuesday"/>
    <x v="17"/>
    <m/>
    <s v="Pool"/>
    <n v="124"/>
    <s v="Chandan"/>
    <m/>
  </r>
  <r>
    <n v="508"/>
    <d v="2026-02-25T00:00:00"/>
    <s v="Wednesday"/>
    <x v="17"/>
    <m/>
    <s v="paid for open AI subscription for sushil chatbot"/>
    <n v="1050"/>
    <s v="Chandan"/>
    <m/>
  </r>
  <r>
    <n v="509"/>
    <d v="2026-02-26T00:00:00"/>
    <s v="Thursday"/>
    <x v="17"/>
    <m/>
    <s v="Paid advance for food for holi"/>
    <n v="2175"/>
    <s v="Chandan"/>
    <m/>
  </r>
  <r>
    <n v="510"/>
    <d v="2026-02-26T00:00:00"/>
    <s v="Thursday"/>
    <x v="1"/>
    <m/>
    <s v="Print out for MCA"/>
    <n v="80"/>
    <s v="Rishabh"/>
    <m/>
  </r>
  <r>
    <n v="511"/>
    <d v="2026-02-26T00:00:00"/>
    <s v="Thursday"/>
    <x v="1"/>
    <m/>
    <s v="Piad for kulfi"/>
    <n v="936"/>
    <s v="Chandan"/>
    <m/>
  </r>
  <r>
    <n v="512"/>
    <d v="2026-03-02T00:00:00"/>
    <s v="Monday"/>
    <x v="17"/>
    <m/>
    <s v="Food : remaingin"/>
    <n v="2175"/>
    <s v="Chandan"/>
    <m/>
  </r>
  <r>
    <n v="513"/>
    <d v="2026-03-02T00:00:00"/>
    <s v="Monday"/>
    <x v="17"/>
    <m/>
    <s v="Beer"/>
    <n v="2040"/>
    <s v="Chandan"/>
    <m/>
  </r>
  <r>
    <n v="514"/>
    <d v="2026-03-02T00:00:00"/>
    <s v="Monday"/>
    <x v="17"/>
    <m/>
    <s v="Portar"/>
    <n v="310"/>
    <s v="Rishabh"/>
    <m/>
  </r>
  <r>
    <n v="515"/>
    <d v="2026-03-02T00:00:00"/>
    <s v="Monday"/>
    <x v="17"/>
    <m/>
    <s v="Blinkit : milk and ice cubes"/>
    <n v="234"/>
    <s v="Rishabh"/>
    <m/>
  </r>
  <r>
    <n v="516"/>
    <d v="2026-03-03T00:00:00"/>
    <s v="Tuesday"/>
    <x v="17"/>
    <m/>
    <s v="FB budget: 265425466458147"/>
    <n v="20000"/>
    <s v="Account-ArgosMob"/>
    <m/>
  </r>
  <r>
    <n v="517"/>
    <d v="2026-03-03T00:00:00"/>
    <s v="Tuesday"/>
    <x v="17"/>
    <m/>
    <s v="Self withdrawl for expenses"/>
    <n v="-4215"/>
    <s v="Chandan"/>
    <m/>
  </r>
  <r>
    <n v="518"/>
    <d v="2026-03-03T00:00:00"/>
    <s v="Tuesday"/>
    <x v="17"/>
    <m/>
    <s v="Self withdrawl for expenses"/>
    <n v="4215"/>
    <s v="Account-KiloWatt"/>
    <m/>
  </r>
  <r>
    <n v="519"/>
    <d v="2026-03-01T00:00:00"/>
    <s v="Sunday"/>
    <x v="5"/>
    <m/>
    <s v="Director Salary =&gt; Dr Chadha(Jan - 2026)"/>
    <n v="12500"/>
    <s v="Account-KiloWatt"/>
    <m/>
  </r>
  <r>
    <n v="520"/>
    <d v="2026-03-01T00:00:00"/>
    <s v="Sunday"/>
    <x v="20"/>
    <m/>
    <s v="Loan repayment for Jan 2026"/>
    <n v="-25000"/>
    <s v="Dr Chadha"/>
    <m/>
  </r>
  <r>
    <n v="521"/>
    <d v="2026-03-01T00:00:00"/>
    <s v="Sunday"/>
    <x v="5"/>
    <m/>
    <s v="Director Salary =&gt; Dr Jitendra Ji(Jan - 2026)"/>
    <n v="12500"/>
    <s v="Account-KiloWatt"/>
    <m/>
  </r>
  <r>
    <n v="522"/>
    <d v="2026-03-01T00:00:00"/>
    <s v="Sunday"/>
    <x v="17"/>
    <m/>
    <s v="Profit =&gt; Dr Chadha(Feb - 2026)"/>
    <n v="15529"/>
    <s v="Account-KiloWatt"/>
    <m/>
  </r>
  <r>
    <n v="523"/>
    <d v="2026-03-01T00:00:00"/>
    <s v="Sunday"/>
    <x v="17"/>
    <m/>
    <s v="Profit =&gt; Jitendra Ji sir(Feb - 2026)"/>
    <n v="15529"/>
    <s v="Account-KiloWatt"/>
    <m/>
  </r>
  <r>
    <n v="524"/>
    <d v="2026-03-01T00:00:00"/>
    <s v="Sunday"/>
    <x v="17"/>
    <m/>
    <s v="Profit =&gt; Chandan(Feb - 2026)"/>
    <n v="43102.8"/>
    <s v="Account-KiloWatt"/>
    <m/>
  </r>
  <r>
    <n v="525"/>
    <d v="2026-03-01T00:00:00"/>
    <s v="Sunday"/>
    <x v="17"/>
    <m/>
    <s v="Profit =&gt; Krishna(Feb - 2026)"/>
    <n v="31535"/>
    <s v="Account-KiloWatt"/>
    <m/>
  </r>
  <r>
    <n v="526"/>
    <d v="2026-03-01T00:00:00"/>
    <s v="Sunday"/>
    <x v="17"/>
    <m/>
    <s v="Profit =&gt; Rishabh(Feb - 2026)"/>
    <n v="32276.42"/>
    <s v="Account-KiloWatt"/>
    <m/>
  </r>
  <r>
    <n v="527"/>
    <d v="2026-03-01T00:00:00"/>
    <s v="Sunday"/>
    <x v="17"/>
    <m/>
    <s v="Profit =&gt; Vansh(Feb - 2026)"/>
    <n v="13058"/>
    <s v="Account-KiloWatt"/>
    <m/>
  </r>
  <r>
    <n v="528"/>
    <d v="2026-03-01T00:00:00"/>
    <s v="Sunday"/>
    <x v="17"/>
    <m/>
    <s v="Profit =&gt; Dr Chadha(Feb - 2026)"/>
    <n v="-15529"/>
    <s v="Dr Chadha"/>
    <m/>
  </r>
  <r>
    <n v="529"/>
    <d v="2026-03-01T00:00:00"/>
    <s v="Sunday"/>
    <x v="17"/>
    <m/>
    <s v="Profit =&gt; Jitendra Ji sir(Feb - 2026)"/>
    <n v="-15529"/>
    <s v="Jitendra ji"/>
    <m/>
  </r>
  <r>
    <n v="530"/>
    <d v="2026-03-01T00:00:00"/>
    <s v="Sunday"/>
    <x v="17"/>
    <m/>
    <s v="Profit =&gt; Chandan(Feb - 2026)"/>
    <n v="-43102.8"/>
    <s v="Chandan"/>
    <m/>
  </r>
  <r>
    <n v="531"/>
    <d v="2026-03-01T00:00:00"/>
    <s v="Sunday"/>
    <x v="17"/>
    <m/>
    <s v="Profit =&gt; Krishna(Feb - 2026)"/>
    <n v="-31535"/>
    <s v="Krishna"/>
    <m/>
  </r>
  <r>
    <n v="532"/>
    <d v="2026-03-01T00:00:00"/>
    <s v="Sunday"/>
    <x v="17"/>
    <m/>
    <s v="Profit =&gt; Rishabh(Feb - 2026)"/>
    <n v="-32276.42"/>
    <s v="Rishabh"/>
    <m/>
  </r>
  <r>
    <n v="533"/>
    <d v="2026-03-01T00:00:00"/>
    <s v="Sunday"/>
    <x v="17"/>
    <m/>
    <s v="Profit =&gt; Vansh(Feb - 2026)"/>
    <n v="-13058"/>
    <s v="Vansh"/>
    <m/>
  </r>
  <r>
    <n v="534"/>
    <d v="2026-03-03T00:00:00"/>
    <s v="Tuesday"/>
    <x v="17"/>
    <m/>
    <s v="paid to Krishna"/>
    <n v="25000"/>
    <s v="Rishabh"/>
    <m/>
  </r>
  <r>
    <n v="535"/>
    <d v="2026-03-03T00:00:00"/>
    <s v="Tuesday"/>
    <x v="17"/>
    <m/>
    <s v="Received from Rishabh"/>
    <n v="-25000"/>
    <s v="Krishna"/>
    <m/>
  </r>
  <r>
    <n v="536"/>
    <d v="2026-03-05T00:00:00"/>
    <s v="Thursday"/>
    <x v="1"/>
    <m/>
    <s v="VPS billing"/>
    <n v="1886.82"/>
    <s v="Krishna"/>
    <m/>
  </r>
  <r>
    <n v="537"/>
    <d v="2026-03-05T00:00:00"/>
    <s v="Thursday"/>
    <x v="17"/>
    <m/>
    <s v="Printout beingpetz aggrement"/>
    <n v="110"/>
    <s v="Krishna"/>
    <m/>
  </r>
  <r>
    <n v="538"/>
    <d v="2026-03-09T00:00:00"/>
    <s v="Monday"/>
    <x v="17"/>
    <m/>
    <s v="Paid for coffee for Feb 26"/>
    <n v="3737"/>
    <s v="Cash"/>
    <m/>
  </r>
  <r>
    <n v="539"/>
    <d v="2026-03-10T00:00:00"/>
    <s v="Tuesday"/>
    <x v="5"/>
    <m/>
    <s v="Salary for Feb 2026 =&gt; Prashant"/>
    <n v="12166.67"/>
    <s v="Account-KiloWatt"/>
    <m/>
  </r>
  <r>
    <n v="540"/>
    <d v="2026-03-10T00:00:00"/>
    <s v="Tuesday"/>
    <x v="5"/>
    <m/>
    <s v="Salary for Feb 2026 =&gt; Ishika Sharma"/>
    <n v="23750"/>
    <s v="Account-KiloWatt"/>
    <m/>
  </r>
  <r>
    <n v="541"/>
    <d v="2026-03-10T00:00:00"/>
    <s v="Tuesday"/>
    <x v="5"/>
    <m/>
    <s v="Salary for Feb 2026 =&gt; Shubham Dubey"/>
    <n v="5000"/>
    <s v="Account-KiloWatt"/>
    <m/>
  </r>
  <r>
    <n v="542"/>
    <d v="2026-03-10T00:00:00"/>
    <s v="Tuesday"/>
    <x v="5"/>
    <m/>
    <s v="Salary for Feb 2026 =&gt; Aditya"/>
    <n v="36166.67"/>
    <s v="Account-KiloWatt"/>
    <m/>
  </r>
  <r>
    <n v="543"/>
    <d v="2026-03-10T00:00:00"/>
    <s v="Tuesday"/>
    <x v="5"/>
    <m/>
    <s v="Salary for Feb 2026 =&gt; Haider"/>
    <n v="41250"/>
    <s v="Account-KiloWatt"/>
    <m/>
  </r>
  <r>
    <n v="544"/>
    <d v="2026-03-10T00:00:00"/>
    <s v="Tuesday"/>
    <x v="5"/>
    <m/>
    <s v="Salary for Feb 2026 =&gt; Priyanka"/>
    <n v="30000"/>
    <s v="Account-KiloWatt"/>
    <m/>
  </r>
  <r>
    <n v="545"/>
    <d v="2026-03-10T00:00:00"/>
    <s v="Tuesday"/>
    <x v="5"/>
    <m/>
    <s v="Salary for Feb 2026 =&gt; Dev Kumar Sharma"/>
    <n v="40000"/>
    <s v="Account-KiloWatt"/>
    <m/>
  </r>
  <r>
    <n v="546"/>
    <d v="2026-03-10T00:00:00"/>
    <s v="Tuesday"/>
    <x v="5"/>
    <m/>
    <s v="Salary for Feb 2026 =&gt; Akansha"/>
    <n v="9900"/>
    <s v="Account-KiloWatt"/>
    <m/>
  </r>
  <r>
    <n v="547"/>
    <d v="2026-03-10T00:00:00"/>
    <s v="Tuesday"/>
    <x v="5"/>
    <m/>
    <s v="Salary for Feb 2026 =&gt; Avani"/>
    <n v="11500"/>
    <s v="Account-KiloWatt"/>
    <m/>
  </r>
  <r>
    <n v="548"/>
    <d v="2026-03-10T00:00:00"/>
    <s v="Tuesday"/>
    <x v="5"/>
    <m/>
    <s v="Salary for Feb 2026 =&gt; Ravleen"/>
    <n v="17500"/>
    <s v="Account-KiloWatt"/>
    <m/>
  </r>
  <r>
    <n v="549"/>
    <d v="2026-03-10T00:00:00"/>
    <s v="Tuesday"/>
    <x v="5"/>
    <m/>
    <s v="FNF for Anup"/>
    <n v="6000"/>
    <s v="Account-KiloWatt"/>
    <m/>
  </r>
  <r>
    <n v="550"/>
    <d v="2026-03-10T00:00:00"/>
    <s v="Tuesday"/>
    <x v="5"/>
    <m/>
    <s v="Director Salary =&gt; Dr Chadha(Feb - 2026)"/>
    <n v="12500"/>
    <s v="Account-KiloWatt"/>
    <m/>
  </r>
  <r>
    <n v="551"/>
    <d v="2026-03-10T00:00:00"/>
    <s v="Tuesday"/>
    <x v="5"/>
    <m/>
    <s v="Director Salary =&gt; Jitendra Ji(Feb - 2026)"/>
    <n v="12500"/>
    <s v="Account-KiloWatt"/>
    <m/>
  </r>
  <r>
    <n v="552"/>
    <d v="2026-03-10T00:00:00"/>
    <s v="Tuesday"/>
    <x v="20"/>
    <m/>
    <s v="Loan repayment for Feb 2026"/>
    <n v="-25000"/>
    <s v="Dr Chadha"/>
    <m/>
  </r>
  <r>
    <n v="553"/>
    <d v="2026-03-10T00:00:00"/>
    <s v="Tuesday"/>
    <x v="5"/>
    <m/>
    <s v="Director Salary =&gt; Chandan(Feb - 2026)"/>
    <n v="25000"/>
    <s v="Cash"/>
    <m/>
  </r>
  <r>
    <n v="554"/>
    <d v="2026-03-10T00:00:00"/>
    <s v="Tuesday"/>
    <x v="5"/>
    <m/>
    <s v="Director Salary =&gt; Rishabh(Feb - 2026)"/>
    <n v="25000"/>
    <s v="Cash"/>
    <m/>
  </r>
  <r>
    <n v="555"/>
    <d v="2026-03-10T00:00:00"/>
    <s v="Tuesday"/>
    <x v="5"/>
    <m/>
    <s v="Director Salary =&gt; Krishna(Feb - 2026)"/>
    <n v="25000"/>
    <s v="Cash"/>
    <m/>
  </r>
  <r>
    <n v="556"/>
    <d v="2026-03-10T00:00:00"/>
    <s v="Tuesday"/>
    <x v="5"/>
    <m/>
    <s v="Director Salary =&gt; Vansh(Feb - 2026)"/>
    <n v="25000"/>
    <s v="Cash"/>
    <m/>
  </r>
  <r>
    <n v="557"/>
    <d v="2026-03-10T00:00:00"/>
    <s v="Tuesday"/>
    <x v="1"/>
    <m/>
    <s v="Paid for static IP for NGK"/>
    <n v="176"/>
    <s v="Chanda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0C18D-177E-43F5-8284-8FB3A6B6385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6" firstHeaderRow="1" firstDataRow="1" firstDataCol="1"/>
  <pivotFields count="14">
    <pivotField showAll="0"/>
    <pivotField showAll="0"/>
    <pivotField numFmtId="14" showAll="0"/>
    <pivotField showAll="0"/>
    <pivotField showAll="0"/>
    <pivotField axis="axisRow" showAll="0" sortType="descending">
      <items count="6">
        <item x="3"/>
        <item x="0"/>
        <item x="2"/>
        <item x="1"/>
        <item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8" showAll="0"/>
    <pivotField showAll="0"/>
    <pivotField showAll="0"/>
    <pivotField showAll="0"/>
  </pivotFields>
  <rowFields count="1">
    <field x="5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Sale" fld="10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6AAC9-B4C3-41D7-9A08-1391279EECC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8:K32" firstHeaderRow="1" firstDataRow="1" firstDataCol="1"/>
  <pivotFields count="9">
    <pivotField showAll="0"/>
    <pivotField numFmtId="14" showAll="0"/>
    <pivotField showAll="0"/>
    <pivotField axis="axisRow" showAll="0">
      <items count="29">
        <item m="1" x="22"/>
        <item x="13"/>
        <item x="14"/>
        <item h="1" x="15"/>
        <item x="4"/>
        <item x="3"/>
        <item m="1" x="27"/>
        <item x="7"/>
        <item x="2"/>
        <item x="9"/>
        <item x="0"/>
        <item m="1" x="26"/>
        <item x="1"/>
        <item m="1" x="25"/>
        <item m="1" x="23"/>
        <item m="1" x="24"/>
        <item x="10"/>
        <item x="12"/>
        <item x="5"/>
        <item h="1" x="8"/>
        <item x="11"/>
        <item h="1" x="17"/>
        <item h="1" x="16"/>
        <item h="1" x="6"/>
        <item h="1" m="1" x="21"/>
        <item h="1" x="19"/>
        <item h="1" x="18"/>
        <item h="1" x="2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14">
    <i>
      <x v="1"/>
    </i>
    <i>
      <x v="2"/>
    </i>
    <i>
      <x v="4"/>
    </i>
    <i>
      <x v="5"/>
    </i>
    <i>
      <x v="7"/>
    </i>
    <i>
      <x v="8"/>
    </i>
    <i>
      <x v="9"/>
    </i>
    <i>
      <x v="10"/>
    </i>
    <i>
      <x v="12"/>
    </i>
    <i>
      <x v="16"/>
    </i>
    <i>
      <x v="17"/>
    </i>
    <i>
      <x v="18"/>
    </i>
    <i>
      <x v="20"/>
    </i>
    <i t="grand">
      <x/>
    </i>
  </rowItems>
  <colItems count="1">
    <i/>
  </colItems>
  <dataFields count="1">
    <dataField name="Sum of Amount" fld="6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2C8E8-4638-4E54-8749-8D2A5B467B9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39" firstHeaderRow="0" firstDataRow="1" firstDataCol="1"/>
  <pivotFields count="18">
    <pivotField showAll="0"/>
    <pivotField showAll="0"/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4"/>
        <item x="12"/>
        <item x="26"/>
        <item x="27"/>
        <item x="28"/>
        <item x="29"/>
        <item x="30"/>
        <item x="32"/>
        <item x="31"/>
        <item x="33"/>
        <item t="default"/>
      </items>
    </pivotField>
    <pivotField showAll="0"/>
    <pivotField showAll="0"/>
    <pivotField showAll="0"/>
    <pivotField showAll="0"/>
    <pivotField axis="axisRow" showAll="0" sortType="descending">
      <items count="40">
        <item x="2"/>
        <item x="10"/>
        <item x="9"/>
        <item x="3"/>
        <item x="14"/>
        <item x="11"/>
        <item x="0"/>
        <item x="15"/>
        <item x="17"/>
        <item m="1" x="36"/>
        <item x="4"/>
        <item x="5"/>
        <item m="1" x="38"/>
        <item x="20"/>
        <item x="1"/>
        <item x="6"/>
        <item x="19"/>
        <item x="22"/>
        <item x="21"/>
        <item x="18"/>
        <item x="12"/>
        <item x="8"/>
        <item x="35"/>
        <item x="23"/>
        <item x="24"/>
        <item x="16"/>
        <item x="25"/>
        <item x="26"/>
        <item x="13"/>
        <item x="27"/>
        <item x="28"/>
        <item m="1" x="37"/>
        <item x="7"/>
        <item x="29"/>
        <item x="30"/>
        <item x="31"/>
        <item x="33"/>
        <item x="32"/>
        <item x="3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numFmtId="165" showAll="0"/>
    <pivotField dataField="1" numFmtId="165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7">
    <i>
      <x v="35"/>
    </i>
    <i>
      <x v="6"/>
    </i>
    <i>
      <x v="19"/>
    </i>
    <i>
      <x v="38"/>
    </i>
    <i>
      <x v="24"/>
    </i>
    <i>
      <x v="30"/>
    </i>
    <i>
      <x v="16"/>
    </i>
    <i>
      <x v="11"/>
    </i>
    <i>
      <x v="15"/>
    </i>
    <i>
      <x v="25"/>
    </i>
    <i>
      <x v="20"/>
    </i>
    <i>
      <x v="13"/>
    </i>
    <i>
      <x v="27"/>
    </i>
    <i>
      <x v="26"/>
    </i>
    <i>
      <x v="8"/>
    </i>
    <i>
      <x v="2"/>
    </i>
    <i>
      <x v="33"/>
    </i>
    <i>
      <x v="29"/>
    </i>
    <i>
      <x v="5"/>
    </i>
    <i>
      <x v="36"/>
    </i>
    <i>
      <x v="17"/>
    </i>
    <i>
      <x v="1"/>
    </i>
    <i>
      <x v="7"/>
    </i>
    <i>
      <x v="28"/>
    </i>
    <i>
      <x v="18"/>
    </i>
    <i>
      <x v="23"/>
    </i>
    <i>
      <x/>
    </i>
    <i>
      <x v="22"/>
    </i>
    <i>
      <x v="3"/>
    </i>
    <i>
      <x v="34"/>
    </i>
    <i>
      <x v="14"/>
    </i>
    <i>
      <x v="10"/>
    </i>
    <i>
      <x v="37"/>
    </i>
    <i>
      <x v="4"/>
    </i>
    <i>
      <x v="32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tract Value(INR)" fld="12" baseField="6" baseItem="0" numFmtId="44"/>
    <dataField name="Sum of Received(INR)" fld="13" baseField="6" baseItem="19" numFmtId="171"/>
    <dataField name="Sum of Balance(INR)" fld="14" baseField="6" baseItem="19" numFmtId="171"/>
  </dataFields>
  <formats count="5">
    <format dxfId="60">
      <pivotArea collapsedLevelsAreSubtotals="1" fieldPosition="0">
        <references count="2">
          <reference field="4294967294" count="1" selected="0">
            <x v="2"/>
          </reference>
          <reference field="7" count="1">
            <x v="3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2"/>
          </reference>
          <reference field="7" count="11">
            <x v="6"/>
            <x v="8"/>
            <x v="9"/>
            <x v="13"/>
            <x v="15"/>
            <x v="16"/>
            <x v="18"/>
            <x v="19"/>
            <x v="24"/>
            <x v="25"/>
            <x v="26"/>
          </reference>
        </references>
      </pivotArea>
    </format>
    <format dxfId="58">
      <pivotArea dataOnly="0" labelOnly="1" fieldPosition="0">
        <references count="1">
          <reference field="7" count="1">
            <x v="4"/>
          </reference>
        </references>
      </pivotArea>
    </format>
    <format dxfId="57">
      <pivotArea dataOnly="0" labelOnly="1" fieldPosition="0">
        <references count="1">
          <reference field="7" count="1">
            <x v="9"/>
          </reference>
        </references>
      </pivotArea>
    </format>
    <format dxfId="56">
      <pivotArea dataOnly="0" labelOnly="1" fieldPosition="0">
        <references count="1">
          <reference field="7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C0809F-5072-498D-BFB1-52E438BC693C}" name="Table3" displayName="Table3" ref="A1:N81" totalsRowShown="0" headerRowDxfId="72" headerRowBorderDxfId="71" tableBorderDxfId="70">
  <autoFilter ref="A1:N81" xr:uid="{1BC0809F-5072-498D-BFB1-52E438BC693C}"/>
  <sortState xmlns:xlrd2="http://schemas.microsoft.com/office/spreadsheetml/2017/richdata2" ref="A2:N76">
    <sortCondition ref="C1:C76"/>
  </sortState>
  <tableColumns count="14">
    <tableColumn id="1" xr3:uid="{D80285CC-0E5B-4820-A493-97CC9C86C3CA}" name="Sno" dataDxfId="69">
      <calculatedColumnFormula>A1+1</calculatedColumnFormula>
    </tableColumn>
    <tableColumn id="2" xr3:uid="{429E2A88-3121-4454-A55F-DE337021FC30}" name="Day">
      <calculatedColumnFormula>TEXT(C2,"dddd")</calculatedColumnFormula>
    </tableColumn>
    <tableColumn id="3" xr3:uid="{44104716-5775-4D78-A0CD-212A59BD7EA4}" name="Date" dataDxfId="68"/>
    <tableColumn id="14" xr3:uid="{76C8F977-05FF-4070-9238-CDB86DBC37DF}" name="Type of Sale" dataDxfId="67"/>
    <tableColumn id="4" xr3:uid="{F086E1EE-B95F-4C7F-98D8-3F4A4A37083A}" name="Project Type" dataDxfId="66"/>
    <tableColumn id="5" xr3:uid="{5FA71B7B-864D-47E9-AB1B-B9BFE014547E}" name="Resource" dataDxfId="65"/>
    <tableColumn id="6" xr3:uid="{4420A289-3843-41EC-AB64-1785C5B660C4}" name="Project Name" dataDxfId="64"/>
    <tableColumn id="7" xr3:uid="{A70C7345-E131-402C-90D3-2E0CB560A8E7}" name="Client Name" dataDxfId="63"/>
    <tableColumn id="8" xr3:uid="{F34BE9E1-0D1B-47D4-87DC-D3556B69F741}" name="Country"/>
    <tableColumn id="9" xr3:uid="{FB084C87-DD62-47F3-9CF1-6BD64061191F}" name="State"/>
    <tableColumn id="10" xr3:uid="{3C7C7B63-C9EB-476C-8B61-902E9DE343A3}" name="Sale" dataDxfId="62"/>
    <tableColumn id="11" xr3:uid="{540CCE7C-D2FC-4A49-B242-DFFE3965B780}" name="Currency" dataDxfId="61"/>
    <tableColumn id="12" xr3:uid="{4641CB1C-70CA-43F6-8B0D-65A4AF4BDEBA}" name="Income Receiver"/>
    <tableColumn id="13" xr3:uid="{9C3B8E0F-CECC-446D-BB27-633FF244AB3A}" name="M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AE9B17-9CBA-4903-BC3E-C5B895198A65}" name="Table2" displayName="Table2" ref="A1:I565" totalsRowShown="0" headerRowDxfId="85" dataDxfId="83" headerRowBorderDxfId="84" tableBorderDxfId="82" headerRowCellStyle="Currency">
  <autoFilter ref="A1:I565" xr:uid="{FFAE9B17-9CBA-4903-BC3E-C5B895198A65}"/>
  <sortState xmlns:xlrd2="http://schemas.microsoft.com/office/spreadsheetml/2017/richdata2" ref="A2:I563">
    <sortCondition ref="B1:B563"/>
  </sortState>
  <tableColumns count="9">
    <tableColumn id="1" xr3:uid="{9767E92C-4131-4F61-94F1-C9B1FFEB68A2}" name="Sno" dataDxfId="81">
      <calculatedColumnFormula>A1+1</calculatedColumnFormula>
    </tableColumn>
    <tableColumn id="2" xr3:uid="{9D4E36EE-3B52-49C6-AF7E-3D90E57EA329}" name="Day" dataDxfId="80"/>
    <tableColumn id="3" xr3:uid="{ACB12545-F73B-4861-A90E-16C36905EBE7}" name="Date" dataDxfId="79">
      <calculatedColumnFormula>TEXT(B2,"dddd")</calculatedColumnFormula>
    </tableColumn>
    <tableColumn id="4" xr3:uid="{C2C2C88A-CB71-4B70-8281-3681B41B7422}" name="Category" dataDxfId="78"/>
    <tableColumn id="5" xr3:uid="{AACDD4F2-244F-4FB2-8F58-E138514CF4B9}" name="Sub-Category" dataDxfId="77"/>
    <tableColumn id="6" xr3:uid="{E3353908-9AEA-4013-86F7-68C18F72D162}" name="Line Item" dataDxfId="76"/>
    <tableColumn id="7" xr3:uid="{D0018961-E81B-44BA-B6D6-7C2CFF21B4F7}" name="Amount" dataDxfId="75" dataCellStyle="Currency"/>
    <tableColumn id="8" xr3:uid="{BFFC2D35-BD57-49C4-83B0-A98F907E74A9}" name="Paid by" dataDxfId="74"/>
    <tableColumn id="9" xr3:uid="{6B4A163A-69E0-42BA-BF2B-A5A67237EA56}" name="Column1" dataDxfId="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40082-321E-4A24-AB6D-3A4720D297A2}" name="Table1" displayName="Table1" ref="A1:P43" totalsRowShown="0" headerRowDxfId="55" dataDxfId="53" headerRowBorderDxfId="54" tableBorderDxfId="52">
  <sortState xmlns:xlrd2="http://schemas.microsoft.com/office/spreadsheetml/2017/richdata2" ref="A2:P43">
    <sortCondition ref="C1:C43"/>
  </sortState>
  <tableColumns count="16">
    <tableColumn id="1" xr3:uid="{8E7165B9-EF7F-4622-AD52-313E5AE755C6}" name="Sno" dataDxfId="51"/>
    <tableColumn id="2" xr3:uid="{14EEB550-03C3-46B6-8AF7-65F39B03F260}" name="Day" dataDxfId="50">
      <calculatedColumnFormula>TEXT(Table1[[#This Row],[Sale Date]], "dddd")</calculatedColumnFormula>
    </tableColumn>
    <tableColumn id="3" xr3:uid="{EAA0A004-CEF7-42EF-B004-78DA6FCF281E}" name="Sale Date" dataDxfId="49"/>
    <tableColumn id="4" xr3:uid="{8F7775B9-FDB1-44B5-8143-EE38165B3785}" name="Project Type" dataDxfId="48"/>
    <tableColumn id="17" xr3:uid="{CD4141D5-B25F-4900-85DD-E608DCEBFA2C}" name="Resource" dataDxfId="47"/>
    <tableColumn id="5" xr3:uid="{542461B7-CB45-45AC-B9C7-64FDB2E86BE0}" name="Currency" dataDxfId="46"/>
    <tableColumn id="11" xr3:uid="{63FDEB26-79A0-463B-8D37-72443E7A0C53}" name="Project Manager" dataDxfId="45"/>
    <tableColumn id="7" xr3:uid="{B72B965D-0AAC-4845-A82B-A075985E0803}" name="Project Name" dataDxfId="44"/>
    <tableColumn id="8" xr3:uid="{650ACB57-3A93-479D-8D13-8FFC2625118B}" name="Client Name" dataDxfId="43"/>
    <tableColumn id="9" xr3:uid="{34BC2487-89EC-4C64-B6BA-7C34B877A4A3}" name="Country" dataDxfId="42"/>
    <tableColumn id="10" xr3:uid="{6F1F2CFB-2858-48E8-BAA4-DDD30A654E16}" name="Contract Value" dataDxfId="41" dataCellStyle="Currency"/>
    <tableColumn id="13" xr3:uid="{FF0BE208-4447-4417-8707-9E0EA166BD6E}" name="Exchange" dataDxfId="40" dataCellStyle="Currency"/>
    <tableColumn id="14" xr3:uid="{DEE451E1-F2D3-4AF9-8A69-63884DA83BD8}" name="Contract Value(INR)" dataDxfId="39" dataCellStyle="Currency">
      <calculatedColumnFormula>Table1[[#This Row],[Exchange]]*Table1[[#This Row],[Contract Value]]</calculatedColumnFormula>
    </tableColumn>
    <tableColumn id="15" xr3:uid="{497B72E7-9A79-4B2D-9CE5-E267EA078B77}" name="Received(INR)" dataDxfId="38" dataCellStyle="Currency">
      <calculatedColumnFormula>SUMIFS(Income!K:K,Income!G:G,Table1[[#This Row],[Project Name]],Income!E:E,Table1[[#This Row],[Project Type]],Income!H:H,Table1[[#This Row],[Client Name]])</calculatedColumnFormula>
    </tableColumn>
    <tableColumn id="16" xr3:uid="{7A1E1492-2B60-444A-9E99-5A7B7A3232EF}" name="Balance(INR)" dataDxfId="37" dataCellStyle="Currency">
      <calculatedColumnFormula>Table1[[#This Row],[Contract Value(INR)]]-Table1[[#This Row],[Received(INR)]]</calculatedColumnFormula>
    </tableColumn>
    <tableColumn id="6" xr3:uid="{D51227BB-95E3-455D-A257-D95F253E1A94}" name="Column1" dataDxfId="3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1E6A64-9FAF-43E4-961E-DE20413D6676}" name="Table4" displayName="Table4" ref="B1:Q33" totalsRowShown="0" headerRowDxfId="35" dataDxfId="34" dataCellStyle="Currency">
  <autoFilter ref="B1:Q33" xr:uid="{BF1E6A64-9FAF-43E4-961E-DE20413D6676}">
    <filterColumn colId="6">
      <filters>
        <filter val="API Integration"/>
        <filter val="Back end"/>
        <filter val="Front end"/>
        <filter val="Testing"/>
      </filters>
    </filterColumn>
    <filterColumn colId="11">
      <filters>
        <filter val="0"/>
        <filter val="-11"/>
        <filter val="-116"/>
        <filter val="-12"/>
        <filter val="-127"/>
        <filter val="-13"/>
        <filter val="-15"/>
        <filter val="-162"/>
        <filter val="-19"/>
        <filter val="-21"/>
        <filter val="-25"/>
        <filter val="-29"/>
        <filter val="-35"/>
        <filter val="-37"/>
        <filter val="-40"/>
        <filter val="-59"/>
        <filter val="-70"/>
        <filter val="-93"/>
        <filter val="-94"/>
      </filters>
    </filterColumn>
    <filterColumn colId="13">
      <filters>
        <filter val="₹ 1,00,000.00"/>
        <filter val="₹ 22,500.00"/>
        <filter val="₹ 24,000.00"/>
        <filter val="₹ 30,000.00"/>
        <filter val="₹ 31,000.00"/>
        <filter val="₹ 35,000.00"/>
        <filter val="₹ 40,000.00"/>
        <filter val="₹ 49,500.00"/>
        <filter val="₹ 60,000.00"/>
        <filter val="₹ 7,500.00"/>
        <filter val="₹ 80,000.00"/>
      </filters>
    </filterColumn>
  </autoFilter>
  <sortState xmlns:xlrd2="http://schemas.microsoft.com/office/spreadsheetml/2017/richdata2" ref="B10:Q33">
    <sortCondition ref="H1:H33"/>
  </sortState>
  <tableColumns count="16">
    <tableColumn id="1" xr3:uid="{6A410AD6-74EA-4AE4-B26E-4441A44B2AA7}" name="Sale Date" dataDxfId="33"/>
    <tableColumn id="2" xr3:uid="{3899D6D1-AEB8-4223-83CD-8CD275D8FE13}" name="Project Manager" dataDxfId="32"/>
    <tableColumn id="14" xr3:uid="{2EA7DF8B-008C-49AE-A04C-5540C8E6DC5E}" name="Maintenance" dataDxfId="31"/>
    <tableColumn id="15" xr3:uid="{3EF01972-EFD0-406A-B363-1516299A035F}" name="Maintenance-Amount" dataDxfId="30" dataCellStyle="Currency"/>
    <tableColumn id="3" xr3:uid="{769D2316-DFCC-4F70-A38B-333F7DE3CD0B}" name="Project Name" dataDxfId="29"/>
    <tableColumn id="4" xr3:uid="{BCE39E23-0BBA-4B02-AFAE-3A0CAFED0C76}" name="Client Name" dataDxfId="28"/>
    <tableColumn id="5" xr3:uid="{432EEDDF-237D-4C9A-8828-B34BCFC80DED}" name="Status" dataDxfId="27"/>
    <tableColumn id="16" xr3:uid="{E76770E1-93CA-43A9-8857-900084CA511E}" name="City"/>
    <tableColumn id="6" xr3:uid="{6099F8C4-A200-4F79-A9BD-640B1231BE09}" name="Days Passed">
      <calculatedColumnFormula>_xlfn.DAYS(TODAY(),B2)</calculatedColumnFormula>
    </tableColumn>
    <tableColumn id="7" xr3:uid="{EC5ADA28-F87A-4731-A32F-A9E4050242B7}" name="Duration(Days)"/>
    <tableColumn id="8" xr3:uid="{A24741B9-FC2C-4053-B75D-D5B284943EC5}" name="Deadline" dataDxfId="26">
      <calculatedColumnFormula>K2+B2</calculatedColumnFormula>
    </tableColumn>
    <tableColumn id="9" xr3:uid="{4CEA4FCC-96D6-457A-BD95-A88E62A588B6}" name="Time left">
      <calculatedColumnFormula>IF(H2&lt;&gt;"Delivered",_xlfn.DAYS(L2,TODAY()),"Delivered")</calculatedColumnFormula>
    </tableColumn>
    <tableColumn id="10" xr3:uid="{17609764-8D30-4AF8-BDEB-39ECC1350B52}" name="Pending Amount" dataDxfId="25" dataCellStyle="Currency">
      <calculatedColumnFormula>VLOOKUP(F2,Table1[[#All],[Project Name]:[Balance(INR)]],8,0)</calculatedColumnFormula>
    </tableColumn>
    <tableColumn id="11" xr3:uid="{BDCE8755-B73B-47F1-8BF6-C07957436652}" name="Next Payment Amount" dataDxfId="24" dataCellStyle="Currency"/>
    <tableColumn id="12" xr3:uid="{7516EF1E-852F-4D28-B28D-E42F38534180}" name="Next Payment Date" dataDxfId="23" dataCellStyle="Currency"/>
    <tableColumn id="13" xr3:uid="{0C3A01C1-691B-4611-8CA3-6FCE7014E81C}" name="Column1" dataDxfId="22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987"/>
  <sheetViews>
    <sheetView zoomScale="110" zoomScaleNormal="110" workbookViewId="0">
      <selection activeCell="J22" sqref="J22:J23"/>
    </sheetView>
  </sheetViews>
  <sheetFormatPr defaultColWidth="12.5703125" defaultRowHeight="15.75" customHeight="1" x14ac:dyDescent="0.2"/>
  <cols>
    <col min="1" max="1" width="4.7109375" bestFit="1" customWidth="1"/>
    <col min="2" max="3" width="10.28515625" bestFit="1" customWidth="1"/>
    <col min="4" max="4" width="5.28515625" bestFit="1" customWidth="1"/>
    <col min="5" max="5" width="12.5703125" bestFit="1" customWidth="1"/>
    <col min="6" max="6" width="16.28515625" bestFit="1" customWidth="1"/>
    <col min="7" max="7" width="13.5703125" customWidth="1"/>
    <col min="8" max="9" width="13" bestFit="1" customWidth="1"/>
    <col min="10" max="10" width="16.140625" bestFit="1" customWidth="1"/>
    <col min="11" max="11" width="15.42578125" style="79" customWidth="1"/>
  </cols>
  <sheetData>
    <row r="1" spans="1:11" ht="12.75" x14ac:dyDescent="0.2">
      <c r="A1" s="81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6</v>
      </c>
    </row>
    <row r="2" spans="1:11" ht="15.75" customHeight="1" x14ac:dyDescent="0.2">
      <c r="A2" s="10">
        <v>1</v>
      </c>
      <c r="B2" s="11">
        <v>45901</v>
      </c>
      <c r="C2" s="6" t="str">
        <f>TEXT(B2,"mmmm")</f>
        <v>September</v>
      </c>
      <c r="D2" s="5">
        <f>YEAR(B2)</f>
        <v>2025</v>
      </c>
      <c r="E2" s="76">
        <f>COUNTIFS('Order Book'!C:C,"&gt;="&amp;B2,'Order Book'!C:C,"&lt;="&amp;EOMONTH(B2,0))</f>
        <v>6</v>
      </c>
      <c r="F2" s="8">
        <f>SUMIFS('Order Book'!M:M,'Order Book'!C:C,"&gt;="&amp;B2,'Order Book'!C:C,"&lt;="&amp;EOMONTH(B2,0))</f>
        <v>460000</v>
      </c>
      <c r="G2" s="78"/>
      <c r="H2" s="8">
        <f>SUMIFS(Income!K:K,Income!C:C,"&gt;="&amp;B2,Income!C:C,"&lt;="&amp;EOMONTH(B2,0))</f>
        <v>85000</v>
      </c>
      <c r="I2" s="8">
        <f>SUMIFS(Expenses!G:G,Expenses!B:B,"&gt;="&amp;B2,Expenses!B:B,"&lt;="&amp;EOMONTH(B2,0))</f>
        <v>96060.63</v>
      </c>
      <c r="J2" s="8">
        <f>H2-I2</f>
        <v>-11060.630000000005</v>
      </c>
      <c r="K2" s="78"/>
    </row>
    <row r="3" spans="1:11" ht="15.75" customHeight="1" x14ac:dyDescent="0.2">
      <c r="A3" s="10">
        <f t="shared" ref="A3" si="0">A2+1</f>
        <v>2</v>
      </c>
      <c r="B3" s="11">
        <v>45931</v>
      </c>
      <c r="C3" s="6" t="str">
        <f>TEXT(B3,"mmmm")</f>
        <v>October</v>
      </c>
      <c r="D3" s="5">
        <f>YEAR(B3)</f>
        <v>2025</v>
      </c>
      <c r="E3" s="76">
        <f>COUNTIFS('Order Book'!C:C,"&gt;="&amp;B3,'Order Book'!C:C,"&lt;="&amp;EOMONTH(B3,0))</f>
        <v>7</v>
      </c>
      <c r="F3" s="8">
        <f>SUMIFS('Order Book'!M:M,'Order Book'!C:C,"&gt;="&amp;B3,'Order Book'!C:C,"&lt;="&amp;EOMONTH(B3,0))</f>
        <v>1075500</v>
      </c>
      <c r="G3" s="78">
        <f t="shared" ref="G3:G17" si="1">IFERROR(ABS(F3/F2)-1,0)</f>
        <v>1.3380434782608694</v>
      </c>
      <c r="H3" s="8">
        <f>SUMIFS(Income!K:K,Income!C:C,"&gt;="&amp;B3,Income!C:C,"&lt;="&amp;EOMONTH(B3,0))</f>
        <v>397500</v>
      </c>
      <c r="I3" s="8">
        <f>SUMIFS(Expenses!G:G,Expenses!B:B,"&gt;="&amp;B3,Expenses!B:B,"&lt;="&amp;EOMONTH(B3,0))</f>
        <v>337681.02</v>
      </c>
      <c r="J3" s="8">
        <f>H3-I3</f>
        <v>59818.979999999981</v>
      </c>
      <c r="K3" s="78">
        <f t="shared" ref="K3:K17" si="2">IFERROR(ABS(J3/J2)-1,0)</f>
        <v>4.408279636874207</v>
      </c>
    </row>
    <row r="4" spans="1:11" ht="15.75" customHeight="1" x14ac:dyDescent="0.2">
      <c r="A4" s="10">
        <f t="shared" ref="A4" si="3">A3+1</f>
        <v>3</v>
      </c>
      <c r="B4" s="11">
        <v>45962</v>
      </c>
      <c r="C4" s="6" t="str">
        <f>TEXT(B4,"mmmm")</f>
        <v>November</v>
      </c>
      <c r="D4" s="5">
        <f>YEAR(B4)</f>
        <v>2025</v>
      </c>
      <c r="E4" s="76">
        <f>COUNTIFS('Order Book'!C:C,"&gt;="&amp;B4,'Order Book'!C:C,"&lt;="&amp;EOMONTH(B4,0))</f>
        <v>9</v>
      </c>
      <c r="F4" s="8">
        <f>SUMIFS('Order Book'!M:M,'Order Book'!C:C,"&gt;="&amp;B4,'Order Book'!C:C,"&lt;="&amp;EOMONTH(B4,0))</f>
        <v>1307500</v>
      </c>
      <c r="G4" s="78">
        <f t="shared" si="1"/>
        <v>0.2157136215713622</v>
      </c>
      <c r="H4" s="8">
        <f>SUMIFS(Income!K:K,Income!C:C,"&gt;="&amp;B4,Income!C:C,"&lt;="&amp;EOMONTH(B4,0))</f>
        <v>666838.41999999993</v>
      </c>
      <c r="I4" s="8">
        <f>SUMIFS(Expenses!G:G,Expenses!B:B,"&gt;="&amp;B4,Expenses!B:B,"&lt;="&amp;EOMONTH(B4,0))</f>
        <v>415195.02999999997</v>
      </c>
      <c r="J4" s="8">
        <f>H4-I4</f>
        <v>251643.38999999996</v>
      </c>
      <c r="K4" s="78">
        <f t="shared" si="2"/>
        <v>3.2067482594989087</v>
      </c>
    </row>
    <row r="5" spans="1:11" ht="15.75" customHeight="1" x14ac:dyDescent="0.2">
      <c r="A5" s="10">
        <f t="shared" ref="A5:A17" si="4">A4+1</f>
        <v>4</v>
      </c>
      <c r="B5" s="11">
        <v>45992</v>
      </c>
      <c r="C5" s="6" t="str">
        <f>TEXT(B5,"mmmm")</f>
        <v>December</v>
      </c>
      <c r="D5" s="5">
        <f>YEAR(B5)</f>
        <v>2025</v>
      </c>
      <c r="E5" s="76">
        <f>COUNTIFS('Order Book'!C:C,"&gt;="&amp;B5,'Order Book'!C:C,"&lt;="&amp;EOMONTH(B5,0))</f>
        <v>7</v>
      </c>
      <c r="F5" s="8">
        <f>SUMIFS('Order Book'!M:M,'Order Book'!C:C,"&gt;="&amp;B5,'Order Book'!C:C,"&lt;="&amp;EOMONTH(B5,0))</f>
        <v>730000</v>
      </c>
      <c r="G5" s="78">
        <f t="shared" si="1"/>
        <v>-0.44168260038240914</v>
      </c>
      <c r="H5" s="8">
        <f>SUMIFS(Income!K:K,Income!C:C,"&gt;="&amp;B5,Income!C:C,"&lt;="&amp;EOMONTH(B5,0))</f>
        <v>587000</v>
      </c>
      <c r="I5" s="8">
        <f>SUMIFS(Expenses!G:G,Expenses!B:B,"&gt;="&amp;B5,Expenses!B:B,"&lt;="&amp;EOMONTH(B5,0))</f>
        <v>382480.8391666665</v>
      </c>
      <c r="J5" s="8">
        <f>H5-I5</f>
        <v>204519.1608333335</v>
      </c>
      <c r="K5" s="78">
        <f t="shared" si="2"/>
        <v>-0.18726591295192163</v>
      </c>
    </row>
    <row r="6" spans="1:11" ht="15.75" customHeight="1" x14ac:dyDescent="0.2">
      <c r="A6" s="10">
        <f t="shared" si="4"/>
        <v>5</v>
      </c>
      <c r="B6" s="11">
        <v>46023</v>
      </c>
      <c r="C6" s="6" t="str">
        <f t="shared" ref="C6:C17" si="5">TEXT(B6,"mmmm")</f>
        <v>January</v>
      </c>
      <c r="D6" s="5">
        <f t="shared" ref="D6:D17" si="6">YEAR(B6)</f>
        <v>2026</v>
      </c>
      <c r="E6" s="76">
        <f>COUNTIFS('Order Book'!C:C,"&gt;="&amp;B6,'Order Book'!C:C,"&lt;="&amp;EOMONTH(B6,0))</f>
        <v>2</v>
      </c>
      <c r="F6" s="8">
        <f>SUMIFS('Order Book'!M:M,'Order Book'!C:C,"&gt;="&amp;B6,'Order Book'!C:C,"&lt;="&amp;EOMONTH(B6,0))</f>
        <v>145000</v>
      </c>
      <c r="G6" s="78">
        <f t="shared" si="1"/>
        <v>-0.80136986301369861</v>
      </c>
      <c r="H6" s="8">
        <f>SUMIFS(Income!K:K,Income!C:C,"&gt;="&amp;B6,Income!C:C,"&lt;="&amp;EOMONTH(B6,0))</f>
        <v>284500</v>
      </c>
      <c r="I6" s="8">
        <f>SUMIFS(Expenses!G:G,Expenses!B:B,"&gt;="&amp;B6,Expenses!B:B,"&lt;="&amp;EOMONTH(B6,0))</f>
        <v>326461.51000000007</v>
      </c>
      <c r="J6" s="8">
        <f t="shared" ref="J6:J17" si="7">H6-I6</f>
        <v>-41961.510000000068</v>
      </c>
      <c r="K6" s="78">
        <f t="shared" si="2"/>
        <v>-0.79482846580719502</v>
      </c>
    </row>
    <row r="7" spans="1:11" ht="15.75" customHeight="1" x14ac:dyDescent="0.2">
      <c r="A7" s="10">
        <f t="shared" si="4"/>
        <v>6</v>
      </c>
      <c r="B7" s="11">
        <v>46054</v>
      </c>
      <c r="C7" s="6" t="str">
        <f t="shared" si="5"/>
        <v>February</v>
      </c>
      <c r="D7" s="5">
        <f t="shared" si="6"/>
        <v>2026</v>
      </c>
      <c r="E7" s="76">
        <f>COUNTIFS('Order Book'!C:C,"&gt;="&amp;B7,'Order Book'!C:C,"&lt;="&amp;EOMONTH(B7,0))</f>
        <v>7</v>
      </c>
      <c r="F7" s="8">
        <f>SUMIFS('Order Book'!M:M,'Order Book'!C:C,"&gt;="&amp;B7,'Order Book'!C:C,"&lt;="&amp;EOMONTH(B7,0))</f>
        <v>894510</v>
      </c>
      <c r="G7" s="78">
        <f t="shared" si="1"/>
        <v>5.1690344827586205</v>
      </c>
      <c r="H7" s="8">
        <f>SUMIFS(Income!K:K,Income!C:C,"&gt;="&amp;B7,Income!C:C,"&lt;="&amp;EOMONTH(B7,0))</f>
        <v>646383.9</v>
      </c>
      <c r="I7" s="8">
        <f>SUMIFS(Expenses!G:G,Expenses!B:B,"&gt;="&amp;B7,Expenses!B:B,"&lt;="&amp;EOMONTH(B7,0))</f>
        <v>461834.11000000028</v>
      </c>
      <c r="J7" s="8">
        <f t="shared" si="7"/>
        <v>184549.78999999975</v>
      </c>
      <c r="K7" s="78">
        <f>IFERROR(ABS(J7/J6)-1,0)</f>
        <v>3.3980731389313554</v>
      </c>
    </row>
    <row r="8" spans="1:11" ht="15.75" customHeight="1" x14ac:dyDescent="0.2">
      <c r="A8" s="10">
        <f t="shared" si="4"/>
        <v>7</v>
      </c>
      <c r="B8" s="11">
        <v>46082</v>
      </c>
      <c r="C8" s="6" t="str">
        <f t="shared" si="5"/>
        <v>March</v>
      </c>
      <c r="D8" s="5">
        <f t="shared" si="6"/>
        <v>2026</v>
      </c>
      <c r="E8" s="76">
        <f>COUNTIFS('Order Book'!C:C,"&gt;="&amp;B8,'Order Book'!C:C,"&lt;="&amp;EOMONTH(B8,0))</f>
        <v>1</v>
      </c>
      <c r="F8" s="8">
        <f>SUMIFS('Order Book'!M:M,'Order Book'!C:C,"&gt;="&amp;B8,'Order Book'!C:C,"&lt;="&amp;EOMONTH(B8,0))</f>
        <v>95000</v>
      </c>
      <c r="G8" s="78">
        <f t="shared" si="1"/>
        <v>-0.89379660372718028</v>
      </c>
      <c r="H8" s="8">
        <f>SUMIFS(Income!K:K,Income!C:C,"&gt;="&amp;B8,Income!C:C,"&lt;="&amp;EOMONTH(B8,0))</f>
        <v>105000</v>
      </c>
      <c r="I8" s="8">
        <f>SUMIFS(Expenses!G:G,Expenses!B:B,"&gt;="&amp;B8,Expenses!B:B,"&lt;="&amp;EOMONTH(B8,0))</f>
        <v>420064.18</v>
      </c>
      <c r="J8" s="8">
        <f t="shared" si="7"/>
        <v>-315064.18</v>
      </c>
      <c r="K8" s="78">
        <f t="shared" si="2"/>
        <v>0.70720421843883119</v>
      </c>
    </row>
    <row r="9" spans="1:11" ht="15.75" customHeight="1" x14ac:dyDescent="0.2">
      <c r="A9" s="10">
        <f t="shared" si="4"/>
        <v>8</v>
      </c>
      <c r="B9" s="11">
        <v>46113</v>
      </c>
      <c r="C9" s="6" t="str">
        <f t="shared" si="5"/>
        <v>April</v>
      </c>
      <c r="D9" s="5">
        <f t="shared" si="6"/>
        <v>2026</v>
      </c>
      <c r="E9" s="76">
        <f>COUNTIFS('Order Book'!C:C,"&gt;="&amp;B9,'Order Book'!C:C,"&lt;="&amp;EOMONTH(B9,0))</f>
        <v>0</v>
      </c>
      <c r="F9" s="8">
        <f>SUMIFS('Order Book'!M:M,'Order Book'!C:C,"&gt;="&amp;B9,'Order Book'!C:C,"&lt;="&amp;EOMONTH(B9,0))</f>
        <v>0</v>
      </c>
      <c r="G9" s="78">
        <f t="shared" si="1"/>
        <v>-1</v>
      </c>
      <c r="H9" s="8">
        <f>SUMIFS(Income!K:K,Income!C:C,"&gt;="&amp;B9,Income!C:C,"&lt;="&amp;EOMONTH(B9,0))</f>
        <v>0</v>
      </c>
      <c r="I9" s="8">
        <f>SUMIFS(Expenses!G:G,Expenses!B:B,"&gt;="&amp;B9,Expenses!B:B,"&lt;="&amp;EOMONTH(B9,0))</f>
        <v>0</v>
      </c>
      <c r="J9" s="8">
        <f t="shared" si="7"/>
        <v>0</v>
      </c>
      <c r="K9" s="78">
        <f t="shared" si="2"/>
        <v>-1</v>
      </c>
    </row>
    <row r="10" spans="1:11" ht="15.75" customHeight="1" x14ac:dyDescent="0.2">
      <c r="A10" s="10">
        <f t="shared" si="4"/>
        <v>9</v>
      </c>
      <c r="B10" s="11">
        <v>46143</v>
      </c>
      <c r="C10" s="6" t="str">
        <f t="shared" si="5"/>
        <v>May</v>
      </c>
      <c r="D10" s="5">
        <f t="shared" si="6"/>
        <v>2026</v>
      </c>
      <c r="E10" s="76">
        <f>COUNTIFS('Order Book'!C:C,"&gt;="&amp;B10,'Order Book'!C:C,"&lt;="&amp;EOMONTH(B10,0))</f>
        <v>0</v>
      </c>
      <c r="F10" s="8">
        <f>SUMIFS('Order Book'!M:M,'Order Book'!C:C,"&gt;="&amp;B10,'Order Book'!C:C,"&lt;="&amp;EOMONTH(B10,0))</f>
        <v>0</v>
      </c>
      <c r="G10" s="78">
        <f t="shared" si="1"/>
        <v>0</v>
      </c>
      <c r="H10" s="8">
        <f>SUMIFS(Income!K:K,Income!C:C,"&gt;="&amp;B10,Income!C:C,"&lt;="&amp;EOMONTH(B10,0))</f>
        <v>0</v>
      </c>
      <c r="I10" s="8">
        <f>SUMIFS(Expenses!G:G,Expenses!B:B,"&gt;="&amp;B10,Expenses!B:B,"&lt;="&amp;EOMONTH(B10,0))</f>
        <v>0</v>
      </c>
      <c r="J10" s="8">
        <f t="shared" si="7"/>
        <v>0</v>
      </c>
      <c r="K10" s="78">
        <f t="shared" si="2"/>
        <v>0</v>
      </c>
    </row>
    <row r="11" spans="1:11" ht="15.75" customHeight="1" x14ac:dyDescent="0.2">
      <c r="A11" s="10">
        <f t="shared" si="4"/>
        <v>10</v>
      </c>
      <c r="B11" s="11">
        <v>46174</v>
      </c>
      <c r="C11" s="6" t="str">
        <f t="shared" si="5"/>
        <v>June</v>
      </c>
      <c r="D11" s="5">
        <f t="shared" si="6"/>
        <v>2026</v>
      </c>
      <c r="E11" s="76">
        <f>COUNTIFS('Order Book'!C:C,"&gt;="&amp;B11,'Order Book'!C:C,"&lt;="&amp;EOMONTH(B11,0))</f>
        <v>0</v>
      </c>
      <c r="F11" s="8">
        <f>SUMIFS('Order Book'!M:M,'Order Book'!C:C,"&gt;="&amp;B11,'Order Book'!C:C,"&lt;="&amp;EOMONTH(B11,0))</f>
        <v>0</v>
      </c>
      <c r="G11" s="78">
        <f t="shared" si="1"/>
        <v>0</v>
      </c>
      <c r="H11" s="8">
        <f>SUMIFS(Income!K:K,Income!C:C,"&gt;="&amp;B11,Income!C:C,"&lt;="&amp;EOMONTH(B11,0))</f>
        <v>0</v>
      </c>
      <c r="I11" s="8">
        <f>SUMIFS(Expenses!G:G,Expenses!B:B,"&gt;="&amp;B11,Expenses!B:B,"&lt;="&amp;EOMONTH(B11,0))</f>
        <v>0</v>
      </c>
      <c r="J11" s="8">
        <f t="shared" si="7"/>
        <v>0</v>
      </c>
      <c r="K11" s="78">
        <f t="shared" si="2"/>
        <v>0</v>
      </c>
    </row>
    <row r="12" spans="1:11" ht="15.75" customHeight="1" x14ac:dyDescent="0.2">
      <c r="A12" s="10">
        <f t="shared" si="4"/>
        <v>11</v>
      </c>
      <c r="B12" s="11">
        <v>46204</v>
      </c>
      <c r="C12" s="6" t="str">
        <f t="shared" si="5"/>
        <v>July</v>
      </c>
      <c r="D12" s="5">
        <f t="shared" si="6"/>
        <v>2026</v>
      </c>
      <c r="E12" s="76">
        <f>COUNTIFS('Order Book'!C:C,"&gt;="&amp;B12,'Order Book'!C:C,"&lt;="&amp;EOMONTH(B12,0))</f>
        <v>0</v>
      </c>
      <c r="F12" s="8">
        <f>SUMIFS('Order Book'!M:M,'Order Book'!C:C,"&gt;="&amp;B12,'Order Book'!C:C,"&lt;="&amp;EOMONTH(B12,0))</f>
        <v>0</v>
      </c>
      <c r="G12" s="78">
        <f t="shared" si="1"/>
        <v>0</v>
      </c>
      <c r="H12" s="8">
        <f>SUMIFS(Income!K:K,Income!C:C,"&gt;="&amp;B12,Income!C:C,"&lt;="&amp;EOMONTH(B12,0))</f>
        <v>0</v>
      </c>
      <c r="I12" s="8">
        <f>SUMIFS(Expenses!G:G,Expenses!B:B,"&gt;="&amp;B12,Expenses!B:B,"&lt;="&amp;EOMONTH(B12,0))</f>
        <v>0</v>
      </c>
      <c r="J12" s="8">
        <f t="shared" si="7"/>
        <v>0</v>
      </c>
      <c r="K12" s="78">
        <f t="shared" si="2"/>
        <v>0</v>
      </c>
    </row>
    <row r="13" spans="1:11" ht="15.75" customHeight="1" x14ac:dyDescent="0.2">
      <c r="A13" s="10">
        <f t="shared" si="4"/>
        <v>12</v>
      </c>
      <c r="B13" s="11">
        <v>46235</v>
      </c>
      <c r="C13" s="6" t="str">
        <f t="shared" si="5"/>
        <v>August</v>
      </c>
      <c r="D13" s="5">
        <f t="shared" si="6"/>
        <v>2026</v>
      </c>
      <c r="E13" s="76">
        <f>COUNTIFS('Order Book'!C:C,"&gt;="&amp;B13,'Order Book'!C:C,"&lt;="&amp;EOMONTH(B13,0))</f>
        <v>0</v>
      </c>
      <c r="F13" s="8">
        <f>SUMIFS('Order Book'!M:M,'Order Book'!C:C,"&gt;="&amp;B13,'Order Book'!C:C,"&lt;="&amp;EOMONTH(B13,0))</f>
        <v>0</v>
      </c>
      <c r="G13" s="78">
        <f t="shared" si="1"/>
        <v>0</v>
      </c>
      <c r="H13" s="8">
        <f>SUMIFS(Income!K:K,Income!C:C,"&gt;="&amp;B13,Income!C:C,"&lt;="&amp;EOMONTH(B13,0))</f>
        <v>0</v>
      </c>
      <c r="I13" s="8">
        <f>SUMIFS(Expenses!G:G,Expenses!B:B,"&gt;="&amp;B13,Expenses!B:B,"&lt;="&amp;EOMONTH(B13,0))</f>
        <v>0</v>
      </c>
      <c r="J13" s="8">
        <f t="shared" si="7"/>
        <v>0</v>
      </c>
      <c r="K13" s="78">
        <f t="shared" si="2"/>
        <v>0</v>
      </c>
    </row>
    <row r="14" spans="1:11" ht="15.75" customHeight="1" x14ac:dyDescent="0.2">
      <c r="A14" s="10">
        <f t="shared" si="4"/>
        <v>13</v>
      </c>
      <c r="B14" s="11">
        <v>46266</v>
      </c>
      <c r="C14" s="6" t="str">
        <f t="shared" si="5"/>
        <v>September</v>
      </c>
      <c r="D14" s="5">
        <f t="shared" si="6"/>
        <v>2026</v>
      </c>
      <c r="E14" s="76">
        <f>COUNTIFS('Order Book'!C:C,"&gt;="&amp;B14,'Order Book'!C:C,"&lt;="&amp;EOMONTH(B14,0))</f>
        <v>0</v>
      </c>
      <c r="F14" s="8">
        <f>SUMIFS('Order Book'!M:M,'Order Book'!C:C,"&gt;="&amp;B14,'Order Book'!C:C,"&lt;="&amp;EOMONTH(B14,0))</f>
        <v>0</v>
      </c>
      <c r="G14" s="78">
        <f t="shared" si="1"/>
        <v>0</v>
      </c>
      <c r="H14" s="8">
        <f>SUMIFS(Income!K:K,Income!C:C,"&gt;="&amp;B14,Income!C:C,"&lt;="&amp;EOMONTH(B14,0))</f>
        <v>0</v>
      </c>
      <c r="I14" s="8">
        <f>SUMIFS(Expenses!G:G,Expenses!B:B,"&gt;="&amp;B14,Expenses!B:B,"&lt;="&amp;EOMONTH(B14,0))</f>
        <v>0</v>
      </c>
      <c r="J14" s="8">
        <f t="shared" si="7"/>
        <v>0</v>
      </c>
      <c r="K14" s="78">
        <f t="shared" si="2"/>
        <v>0</v>
      </c>
    </row>
    <row r="15" spans="1:11" ht="15.75" customHeight="1" x14ac:dyDescent="0.2">
      <c r="A15" s="10">
        <f t="shared" si="4"/>
        <v>14</v>
      </c>
      <c r="B15" s="11">
        <v>46296</v>
      </c>
      <c r="C15" s="6" t="str">
        <f t="shared" si="5"/>
        <v>October</v>
      </c>
      <c r="D15" s="5">
        <f t="shared" si="6"/>
        <v>2026</v>
      </c>
      <c r="E15" s="76">
        <f>COUNTIFS('Order Book'!C:C,"&gt;="&amp;B15,'Order Book'!C:C,"&lt;="&amp;EOMONTH(B15,0))</f>
        <v>0</v>
      </c>
      <c r="F15" s="8">
        <f>SUMIFS('Order Book'!M:M,'Order Book'!C:C,"&gt;="&amp;B15,'Order Book'!C:C,"&lt;="&amp;EOMONTH(B15,0))</f>
        <v>0</v>
      </c>
      <c r="G15" s="78">
        <f t="shared" si="1"/>
        <v>0</v>
      </c>
      <c r="H15" s="8">
        <f>SUMIFS(Income!K:K,Income!C:C,"&gt;="&amp;B15,Income!C:C,"&lt;="&amp;EOMONTH(B15,0))</f>
        <v>0</v>
      </c>
      <c r="I15" s="8">
        <f>SUMIFS(Expenses!G:G,Expenses!B:B,"&gt;="&amp;B15,Expenses!B:B,"&lt;="&amp;EOMONTH(B15,0))</f>
        <v>0</v>
      </c>
      <c r="J15" s="8">
        <f t="shared" si="7"/>
        <v>0</v>
      </c>
      <c r="K15" s="78">
        <f t="shared" si="2"/>
        <v>0</v>
      </c>
    </row>
    <row r="16" spans="1:11" ht="15.75" customHeight="1" x14ac:dyDescent="0.2">
      <c r="A16" s="10">
        <f t="shared" si="4"/>
        <v>15</v>
      </c>
      <c r="B16" s="11">
        <v>46327</v>
      </c>
      <c r="C16" s="6" t="str">
        <f t="shared" si="5"/>
        <v>November</v>
      </c>
      <c r="D16" s="5">
        <f t="shared" si="6"/>
        <v>2026</v>
      </c>
      <c r="E16" s="76">
        <f>COUNTIFS('Order Book'!C:C,"&gt;="&amp;B16,'Order Book'!C:C,"&lt;="&amp;EOMONTH(B16,0))</f>
        <v>0</v>
      </c>
      <c r="F16" s="8">
        <f>SUMIFS('Order Book'!M:M,'Order Book'!C:C,"&gt;="&amp;B16,'Order Book'!C:C,"&lt;="&amp;EOMONTH(B16,0))</f>
        <v>0</v>
      </c>
      <c r="G16" s="78">
        <f t="shared" si="1"/>
        <v>0</v>
      </c>
      <c r="H16" s="8">
        <f>SUMIFS(Income!K:K,Income!C:C,"&gt;="&amp;B16,Income!C:C,"&lt;="&amp;EOMONTH(B16,0))</f>
        <v>0</v>
      </c>
      <c r="I16" s="8">
        <f>SUMIFS(Expenses!G:G,Expenses!B:B,"&gt;="&amp;B16,Expenses!B:B,"&lt;="&amp;EOMONTH(B16,0))</f>
        <v>0</v>
      </c>
      <c r="J16" s="8">
        <f t="shared" si="7"/>
        <v>0</v>
      </c>
      <c r="K16" s="78">
        <f t="shared" si="2"/>
        <v>0</v>
      </c>
    </row>
    <row r="17" spans="1:11" ht="15.75" customHeight="1" x14ac:dyDescent="0.2">
      <c r="A17" s="10">
        <f t="shared" si="4"/>
        <v>16</v>
      </c>
      <c r="B17" s="11">
        <v>46357</v>
      </c>
      <c r="C17" s="6" t="str">
        <f t="shared" si="5"/>
        <v>December</v>
      </c>
      <c r="D17" s="5">
        <f t="shared" si="6"/>
        <v>2026</v>
      </c>
      <c r="E17" s="76">
        <f>COUNTIFS('Order Book'!C:C,"&gt;="&amp;B17,'Order Book'!C:C,"&lt;="&amp;EOMONTH(B17,0))</f>
        <v>0</v>
      </c>
      <c r="F17" s="8">
        <f>SUMIFS('Order Book'!M:M,'Order Book'!C:C,"&gt;="&amp;B17,'Order Book'!C:C,"&lt;="&amp;EOMONTH(B17,0))</f>
        <v>0</v>
      </c>
      <c r="G17" s="78">
        <f t="shared" si="1"/>
        <v>0</v>
      </c>
      <c r="H17" s="8">
        <f>SUMIFS(Income!K:K,Income!C:C,"&gt;="&amp;B17,Income!C:C,"&lt;="&amp;EOMONTH(B17,0))</f>
        <v>0</v>
      </c>
      <c r="I17" s="8">
        <f>SUMIFS(Expenses!G:G,Expenses!B:B,"&gt;="&amp;B17,Expenses!B:B,"&lt;="&amp;EOMONTH(B17,0))</f>
        <v>0</v>
      </c>
      <c r="J17" s="8">
        <f t="shared" si="7"/>
        <v>0</v>
      </c>
      <c r="K17" s="78">
        <f t="shared" si="2"/>
        <v>0</v>
      </c>
    </row>
    <row r="18" spans="1:11" ht="15.75" customHeight="1" x14ac:dyDescent="0.2">
      <c r="A18" s="1"/>
      <c r="B18" s="11"/>
      <c r="E18" s="37"/>
    </row>
    <row r="19" spans="1:11" ht="15.75" customHeight="1" x14ac:dyDescent="0.2">
      <c r="A19" s="1"/>
      <c r="B19" s="11"/>
      <c r="C19" s="1" t="s">
        <v>10</v>
      </c>
      <c r="E19" s="77">
        <f>SUM(E2:E17)</f>
        <v>39</v>
      </c>
      <c r="F19" s="8">
        <f>SUM(F2:F17)</f>
        <v>4707510</v>
      </c>
      <c r="G19" s="8"/>
      <c r="K19" s="80"/>
    </row>
    <row r="20" spans="1:11" ht="15.75" customHeight="1" thickBot="1" x14ac:dyDescent="0.3">
      <c r="A20" s="1"/>
      <c r="B20" s="11"/>
      <c r="C20" s="148" t="s">
        <v>11</v>
      </c>
      <c r="D20" s="148"/>
      <c r="E20" s="148"/>
      <c r="F20" s="93">
        <f>F19-H20</f>
        <v>1935287.6800000002</v>
      </c>
      <c r="H20" s="8">
        <f>SUM(H2:H17)</f>
        <v>2772222.32</v>
      </c>
      <c r="I20" s="8">
        <f>SUM(I2:I17)</f>
        <v>2439777.3191666668</v>
      </c>
      <c r="J20" s="75">
        <f>SUM(J2:J17)</f>
        <v>332445.00083333318</v>
      </c>
    </row>
    <row r="21" spans="1:11" ht="15.75" customHeight="1" thickTop="1" x14ac:dyDescent="0.2">
      <c r="A21" s="1"/>
      <c r="E21" s="37"/>
      <c r="F21" s="12"/>
      <c r="H21" s="12"/>
      <c r="I21" s="12"/>
      <c r="J21" s="12"/>
    </row>
    <row r="22" spans="1:11" ht="15.75" customHeight="1" x14ac:dyDescent="0.2">
      <c r="A22" s="1"/>
      <c r="E22" s="37"/>
      <c r="F22" s="12"/>
      <c r="G22" s="12"/>
      <c r="J22" s="12"/>
    </row>
    <row r="23" spans="1:11" ht="15.75" customHeight="1" x14ac:dyDescent="0.2">
      <c r="A23" s="1"/>
      <c r="E23" s="37"/>
      <c r="F23" s="12"/>
      <c r="G23" s="12"/>
      <c r="I23" s="12"/>
      <c r="J23" s="12"/>
    </row>
    <row r="24" spans="1:11" ht="12.75" x14ac:dyDescent="0.2">
      <c r="A24" s="1"/>
      <c r="E24" s="37"/>
      <c r="F24" s="134"/>
      <c r="G24" s="12"/>
      <c r="H24" s="12"/>
      <c r="I24" s="12"/>
      <c r="J24" s="12"/>
    </row>
    <row r="25" spans="1:11" ht="12.75" x14ac:dyDescent="0.2">
      <c r="A25" s="1"/>
      <c r="E25" s="37"/>
      <c r="F25" s="12"/>
      <c r="G25" s="106"/>
      <c r="I25" s="12"/>
      <c r="J25" s="12"/>
    </row>
    <row r="26" spans="1:11" ht="12.75" x14ac:dyDescent="0.2">
      <c r="A26" s="1"/>
      <c r="F26" s="12"/>
      <c r="H26" s="12"/>
      <c r="J26" s="12"/>
      <c r="K26" s="80"/>
    </row>
    <row r="27" spans="1:11" ht="12.75" x14ac:dyDescent="0.2">
      <c r="A27" s="1"/>
      <c r="E27" s="37"/>
      <c r="F27" s="12"/>
      <c r="G27" s="12"/>
      <c r="H27" s="12"/>
      <c r="J27" s="12"/>
    </row>
    <row r="28" spans="1:11" ht="12.75" x14ac:dyDescent="0.2">
      <c r="A28" s="1"/>
    </row>
    <row r="29" spans="1:11" ht="12.75" x14ac:dyDescent="0.2">
      <c r="A29" s="1"/>
    </row>
    <row r="30" spans="1:11" ht="12.75" x14ac:dyDescent="0.2">
      <c r="A30" s="1"/>
    </row>
    <row r="31" spans="1:11" ht="12.75" x14ac:dyDescent="0.2">
      <c r="A31" s="1"/>
      <c r="K31" s="80"/>
    </row>
    <row r="32" spans="1:11" ht="12.75" x14ac:dyDescent="0.2">
      <c r="A32" s="1"/>
    </row>
    <row r="33" spans="1:1" ht="12.75" x14ac:dyDescent="0.2">
      <c r="A33" s="1"/>
    </row>
    <row r="34" spans="1:1" ht="12.75" x14ac:dyDescent="0.2">
      <c r="A34" s="1"/>
    </row>
    <row r="35" spans="1:1" ht="12.75" x14ac:dyDescent="0.2">
      <c r="A35" s="1"/>
    </row>
    <row r="36" spans="1:1" ht="12.75" x14ac:dyDescent="0.2">
      <c r="A36" s="1"/>
    </row>
    <row r="37" spans="1:1" ht="12.75" x14ac:dyDescent="0.2">
      <c r="A37" s="1"/>
    </row>
    <row r="38" spans="1:1" ht="12.75" x14ac:dyDescent="0.2">
      <c r="A38" s="1"/>
    </row>
    <row r="39" spans="1:1" ht="12.75" x14ac:dyDescent="0.2">
      <c r="A39" s="1"/>
    </row>
    <row r="40" spans="1:1" ht="12.75" x14ac:dyDescent="0.2">
      <c r="A40" s="1"/>
    </row>
    <row r="41" spans="1:1" ht="12.75" x14ac:dyDescent="0.2">
      <c r="A41" s="1"/>
    </row>
    <row r="42" spans="1:1" ht="12.75" x14ac:dyDescent="0.2">
      <c r="A42" s="1"/>
    </row>
    <row r="43" spans="1:1" ht="12.75" x14ac:dyDescent="0.2">
      <c r="A43" s="1"/>
    </row>
    <row r="44" spans="1:1" ht="12.75" x14ac:dyDescent="0.2">
      <c r="A44" s="1"/>
    </row>
    <row r="45" spans="1:1" ht="12.75" x14ac:dyDescent="0.2">
      <c r="A45" s="1"/>
    </row>
    <row r="46" spans="1:1" ht="12.75" x14ac:dyDescent="0.2">
      <c r="A46" s="1"/>
    </row>
    <row r="47" spans="1:1" ht="12.75" x14ac:dyDescent="0.2">
      <c r="A47" s="1"/>
    </row>
    <row r="48" spans="1:1" ht="12.75" x14ac:dyDescent="0.2">
      <c r="A48" s="1"/>
    </row>
    <row r="49" spans="1:1" ht="12.75" x14ac:dyDescent="0.2">
      <c r="A49" s="1"/>
    </row>
    <row r="50" spans="1:1" ht="12.75" x14ac:dyDescent="0.2">
      <c r="A50" s="1"/>
    </row>
    <row r="51" spans="1:1" ht="12.75" x14ac:dyDescent="0.2">
      <c r="A51" s="1"/>
    </row>
    <row r="52" spans="1:1" ht="12.75" x14ac:dyDescent="0.2">
      <c r="A52" s="1"/>
    </row>
    <row r="53" spans="1:1" ht="12.75" x14ac:dyDescent="0.2">
      <c r="A53" s="1"/>
    </row>
    <row r="54" spans="1:1" ht="12.75" x14ac:dyDescent="0.2">
      <c r="A54" s="1"/>
    </row>
    <row r="55" spans="1:1" ht="12.75" x14ac:dyDescent="0.2">
      <c r="A55" s="1"/>
    </row>
    <row r="56" spans="1:1" ht="12.75" x14ac:dyDescent="0.2">
      <c r="A56" s="1"/>
    </row>
    <row r="57" spans="1:1" ht="12.75" x14ac:dyDescent="0.2">
      <c r="A57" s="1"/>
    </row>
    <row r="58" spans="1:1" ht="12.75" x14ac:dyDescent="0.2">
      <c r="A58" s="1"/>
    </row>
    <row r="59" spans="1:1" ht="12.75" x14ac:dyDescent="0.2">
      <c r="A59" s="1"/>
    </row>
    <row r="60" spans="1:1" ht="12.75" x14ac:dyDescent="0.2">
      <c r="A60" s="1"/>
    </row>
    <row r="61" spans="1:1" ht="12.75" x14ac:dyDescent="0.2">
      <c r="A61" s="1"/>
    </row>
    <row r="62" spans="1:1" ht="12.75" x14ac:dyDescent="0.2">
      <c r="A62" s="1"/>
    </row>
    <row r="63" spans="1:1" ht="12.75" x14ac:dyDescent="0.2">
      <c r="A63" s="1"/>
    </row>
    <row r="64" spans="1:1" ht="12.75" x14ac:dyDescent="0.2">
      <c r="A64" s="1"/>
    </row>
    <row r="65" spans="1:1" ht="12.75" x14ac:dyDescent="0.2">
      <c r="A65" s="1"/>
    </row>
    <row r="66" spans="1:1" ht="12.75" x14ac:dyDescent="0.2">
      <c r="A66" s="1"/>
    </row>
    <row r="67" spans="1:1" ht="12.75" x14ac:dyDescent="0.2">
      <c r="A67" s="1"/>
    </row>
    <row r="68" spans="1:1" ht="12.75" x14ac:dyDescent="0.2">
      <c r="A68" s="1"/>
    </row>
    <row r="69" spans="1:1" ht="12.75" x14ac:dyDescent="0.2">
      <c r="A69" s="1"/>
    </row>
    <row r="70" spans="1:1" ht="12.75" x14ac:dyDescent="0.2">
      <c r="A70" s="1"/>
    </row>
    <row r="71" spans="1:1" ht="12.75" x14ac:dyDescent="0.2">
      <c r="A71" s="1"/>
    </row>
    <row r="72" spans="1:1" ht="12.75" x14ac:dyDescent="0.2">
      <c r="A72" s="1"/>
    </row>
    <row r="73" spans="1:1" ht="12.75" x14ac:dyDescent="0.2">
      <c r="A73" s="1"/>
    </row>
    <row r="74" spans="1:1" ht="12.75" x14ac:dyDescent="0.2">
      <c r="A74" s="1"/>
    </row>
    <row r="75" spans="1:1" ht="12.75" x14ac:dyDescent="0.2">
      <c r="A75" s="1"/>
    </row>
    <row r="76" spans="1:1" ht="12.75" x14ac:dyDescent="0.2">
      <c r="A76" s="1"/>
    </row>
    <row r="77" spans="1:1" ht="12.75" x14ac:dyDescent="0.2">
      <c r="A77" s="1"/>
    </row>
    <row r="78" spans="1:1" ht="12.75" x14ac:dyDescent="0.2">
      <c r="A78" s="1"/>
    </row>
    <row r="79" spans="1:1" ht="12.75" x14ac:dyDescent="0.2">
      <c r="A79" s="1"/>
    </row>
    <row r="80" spans="1:1" ht="12.75" x14ac:dyDescent="0.2">
      <c r="A80" s="1"/>
    </row>
    <row r="81" spans="1:1" ht="12.75" x14ac:dyDescent="0.2">
      <c r="A81" s="1"/>
    </row>
    <row r="82" spans="1:1" ht="12.75" x14ac:dyDescent="0.2">
      <c r="A82" s="1"/>
    </row>
    <row r="83" spans="1:1" ht="12.75" x14ac:dyDescent="0.2">
      <c r="A83" s="1"/>
    </row>
    <row r="84" spans="1:1" ht="12.75" x14ac:dyDescent="0.2">
      <c r="A84" s="1"/>
    </row>
    <row r="85" spans="1:1" ht="12.75" x14ac:dyDescent="0.2">
      <c r="A85" s="1"/>
    </row>
    <row r="86" spans="1:1" ht="12.75" x14ac:dyDescent="0.2">
      <c r="A86" s="1"/>
    </row>
    <row r="87" spans="1:1" ht="12.75" x14ac:dyDescent="0.2">
      <c r="A87" s="1"/>
    </row>
    <row r="88" spans="1:1" ht="12.75" x14ac:dyDescent="0.2">
      <c r="A88" s="1"/>
    </row>
    <row r="89" spans="1:1" ht="12.75" x14ac:dyDescent="0.2">
      <c r="A89" s="1"/>
    </row>
    <row r="90" spans="1:1" ht="12.75" x14ac:dyDescent="0.2">
      <c r="A90" s="1"/>
    </row>
    <row r="91" spans="1:1" ht="12.75" x14ac:dyDescent="0.2">
      <c r="A91" s="1"/>
    </row>
    <row r="92" spans="1:1" ht="12.75" x14ac:dyDescent="0.2">
      <c r="A92" s="1"/>
    </row>
    <row r="93" spans="1:1" ht="12.75" x14ac:dyDescent="0.2">
      <c r="A93" s="1"/>
    </row>
    <row r="94" spans="1:1" ht="12.75" x14ac:dyDescent="0.2">
      <c r="A94" s="1"/>
    </row>
    <row r="95" spans="1:1" ht="12.75" x14ac:dyDescent="0.2">
      <c r="A95" s="1"/>
    </row>
    <row r="96" spans="1:1" ht="12.75" x14ac:dyDescent="0.2">
      <c r="A96" s="1"/>
    </row>
    <row r="97" spans="1:1" ht="12.75" x14ac:dyDescent="0.2">
      <c r="A97" s="1"/>
    </row>
    <row r="98" spans="1:1" ht="12.75" x14ac:dyDescent="0.2">
      <c r="A98" s="1"/>
    </row>
    <row r="99" spans="1:1" ht="12.75" x14ac:dyDescent="0.2">
      <c r="A99" s="1"/>
    </row>
    <row r="100" spans="1:1" ht="12.75" x14ac:dyDescent="0.2">
      <c r="A100" s="1"/>
    </row>
    <row r="101" spans="1:1" ht="12.75" x14ac:dyDescent="0.2">
      <c r="A101" s="1"/>
    </row>
    <row r="102" spans="1:1" ht="12.75" x14ac:dyDescent="0.2">
      <c r="A102" s="1"/>
    </row>
    <row r="103" spans="1:1" ht="12.75" x14ac:dyDescent="0.2">
      <c r="A103" s="1"/>
    </row>
    <row r="104" spans="1:1" ht="12.75" x14ac:dyDescent="0.2">
      <c r="A104" s="1"/>
    </row>
    <row r="105" spans="1:1" ht="12.75" x14ac:dyDescent="0.2">
      <c r="A105" s="1"/>
    </row>
    <row r="106" spans="1:1" ht="12.75" x14ac:dyDescent="0.2">
      <c r="A106" s="1"/>
    </row>
    <row r="107" spans="1:1" ht="12.75" x14ac:dyDescent="0.2">
      <c r="A107" s="1"/>
    </row>
    <row r="108" spans="1:1" ht="12.75" x14ac:dyDescent="0.2">
      <c r="A108" s="1"/>
    </row>
    <row r="109" spans="1:1" ht="12.75" x14ac:dyDescent="0.2">
      <c r="A109" s="1"/>
    </row>
    <row r="110" spans="1:1" ht="12.75" x14ac:dyDescent="0.2">
      <c r="A110" s="1"/>
    </row>
    <row r="111" spans="1:1" ht="12.75" x14ac:dyDescent="0.2">
      <c r="A111" s="1"/>
    </row>
    <row r="112" spans="1:1" ht="12.75" x14ac:dyDescent="0.2">
      <c r="A112" s="1"/>
    </row>
    <row r="113" spans="1:1" ht="12.75" x14ac:dyDescent="0.2">
      <c r="A113" s="1"/>
    </row>
    <row r="114" spans="1:1" ht="12.75" x14ac:dyDescent="0.2">
      <c r="A114" s="1"/>
    </row>
    <row r="115" spans="1:1" ht="12.75" x14ac:dyDescent="0.2">
      <c r="A115" s="1"/>
    </row>
    <row r="116" spans="1:1" ht="12.75" x14ac:dyDescent="0.2">
      <c r="A116" s="1"/>
    </row>
    <row r="117" spans="1:1" ht="12.75" x14ac:dyDescent="0.2">
      <c r="A117" s="1"/>
    </row>
    <row r="118" spans="1:1" ht="12.75" x14ac:dyDescent="0.2">
      <c r="A118" s="1"/>
    </row>
    <row r="119" spans="1:1" ht="12.75" x14ac:dyDescent="0.2">
      <c r="A119" s="1"/>
    </row>
    <row r="120" spans="1:1" ht="12.75" x14ac:dyDescent="0.2">
      <c r="A120" s="1"/>
    </row>
    <row r="121" spans="1:1" ht="12.75" x14ac:dyDescent="0.2">
      <c r="A121" s="1"/>
    </row>
    <row r="122" spans="1:1" ht="12.75" x14ac:dyDescent="0.2">
      <c r="A122" s="1"/>
    </row>
    <row r="123" spans="1:1" ht="12.75" x14ac:dyDescent="0.2">
      <c r="A123" s="1"/>
    </row>
    <row r="124" spans="1:1" ht="12.75" x14ac:dyDescent="0.2">
      <c r="A124" s="1"/>
    </row>
    <row r="125" spans="1:1" ht="12.75" x14ac:dyDescent="0.2">
      <c r="A125" s="1"/>
    </row>
    <row r="126" spans="1:1" ht="12.75" x14ac:dyDescent="0.2">
      <c r="A126" s="1"/>
    </row>
    <row r="127" spans="1:1" ht="12.75" x14ac:dyDescent="0.2">
      <c r="A127" s="1"/>
    </row>
    <row r="128" spans="1:1" ht="12.75" x14ac:dyDescent="0.2">
      <c r="A128" s="1"/>
    </row>
    <row r="129" spans="1:1" ht="12.75" x14ac:dyDescent="0.2">
      <c r="A129" s="1"/>
    </row>
    <row r="130" spans="1:1" ht="12.75" x14ac:dyDescent="0.2">
      <c r="A130" s="1"/>
    </row>
    <row r="131" spans="1:1" ht="12.75" x14ac:dyDescent="0.2">
      <c r="A131" s="1"/>
    </row>
    <row r="132" spans="1:1" ht="12.75" x14ac:dyDescent="0.2">
      <c r="A132" s="1"/>
    </row>
    <row r="133" spans="1:1" ht="12.75" x14ac:dyDescent="0.2">
      <c r="A133" s="1"/>
    </row>
    <row r="134" spans="1:1" ht="12.75" x14ac:dyDescent="0.2">
      <c r="A134" s="1"/>
    </row>
    <row r="135" spans="1:1" ht="12.75" x14ac:dyDescent="0.2">
      <c r="A135" s="1"/>
    </row>
    <row r="136" spans="1:1" ht="12.75" x14ac:dyDescent="0.2">
      <c r="A136" s="1"/>
    </row>
    <row r="137" spans="1:1" ht="12.75" x14ac:dyDescent="0.2">
      <c r="A137" s="1"/>
    </row>
    <row r="138" spans="1:1" ht="12.75" x14ac:dyDescent="0.2">
      <c r="A138" s="1"/>
    </row>
    <row r="139" spans="1:1" ht="12.75" x14ac:dyDescent="0.2">
      <c r="A139" s="1"/>
    </row>
    <row r="140" spans="1:1" ht="12.75" x14ac:dyDescent="0.2">
      <c r="A140" s="1"/>
    </row>
    <row r="141" spans="1:1" ht="12.75" x14ac:dyDescent="0.2">
      <c r="A141" s="1"/>
    </row>
    <row r="142" spans="1:1" ht="12.75" x14ac:dyDescent="0.2">
      <c r="A142" s="1"/>
    </row>
    <row r="143" spans="1:1" ht="12.75" x14ac:dyDescent="0.2">
      <c r="A143" s="1"/>
    </row>
    <row r="144" spans="1:1" ht="12.75" x14ac:dyDescent="0.2">
      <c r="A144" s="1"/>
    </row>
    <row r="145" spans="1:1" ht="12.75" x14ac:dyDescent="0.2">
      <c r="A145" s="1"/>
    </row>
    <row r="146" spans="1:1" ht="12.75" x14ac:dyDescent="0.2">
      <c r="A146" s="1"/>
    </row>
    <row r="147" spans="1:1" ht="12.75" x14ac:dyDescent="0.2">
      <c r="A147" s="1"/>
    </row>
    <row r="148" spans="1:1" ht="12.75" x14ac:dyDescent="0.2">
      <c r="A148" s="1"/>
    </row>
    <row r="149" spans="1:1" ht="12.75" x14ac:dyDescent="0.2">
      <c r="A149" s="1"/>
    </row>
    <row r="150" spans="1:1" ht="12.75" x14ac:dyDescent="0.2">
      <c r="A150" s="1"/>
    </row>
    <row r="151" spans="1:1" ht="12.75" x14ac:dyDescent="0.2">
      <c r="A151" s="1"/>
    </row>
    <row r="152" spans="1:1" ht="12.75" x14ac:dyDescent="0.2">
      <c r="A152" s="1"/>
    </row>
    <row r="153" spans="1:1" ht="12.75" x14ac:dyDescent="0.2">
      <c r="A153" s="1"/>
    </row>
    <row r="154" spans="1:1" ht="12.75" x14ac:dyDescent="0.2">
      <c r="A154" s="1"/>
    </row>
    <row r="155" spans="1:1" ht="12.75" x14ac:dyDescent="0.2">
      <c r="A155" s="1"/>
    </row>
    <row r="156" spans="1:1" ht="12.75" x14ac:dyDescent="0.2">
      <c r="A156" s="1"/>
    </row>
    <row r="157" spans="1:1" ht="12.75" x14ac:dyDescent="0.2">
      <c r="A157" s="1"/>
    </row>
    <row r="158" spans="1:1" ht="12.75" x14ac:dyDescent="0.2">
      <c r="A158" s="1"/>
    </row>
    <row r="159" spans="1:1" ht="12.75" x14ac:dyDescent="0.2">
      <c r="A159" s="1"/>
    </row>
    <row r="160" spans="1:1" ht="12.75" x14ac:dyDescent="0.2">
      <c r="A160" s="1"/>
    </row>
    <row r="161" spans="1:1" ht="12.75" x14ac:dyDescent="0.2">
      <c r="A161" s="1"/>
    </row>
    <row r="162" spans="1:1" ht="12.75" x14ac:dyDescent="0.2">
      <c r="A162" s="1"/>
    </row>
    <row r="163" spans="1:1" ht="12.75" x14ac:dyDescent="0.2">
      <c r="A163" s="1"/>
    </row>
    <row r="164" spans="1:1" ht="12.75" x14ac:dyDescent="0.2">
      <c r="A164" s="1"/>
    </row>
    <row r="165" spans="1:1" ht="12.75" x14ac:dyDescent="0.2">
      <c r="A165" s="1"/>
    </row>
    <row r="166" spans="1:1" ht="12.75" x14ac:dyDescent="0.2">
      <c r="A166" s="1"/>
    </row>
    <row r="167" spans="1:1" ht="12.75" x14ac:dyDescent="0.2">
      <c r="A167" s="1"/>
    </row>
    <row r="168" spans="1:1" ht="12.75" x14ac:dyDescent="0.2">
      <c r="A168" s="1"/>
    </row>
    <row r="169" spans="1:1" ht="12.75" x14ac:dyDescent="0.2">
      <c r="A169" s="1"/>
    </row>
    <row r="170" spans="1:1" ht="12.75" x14ac:dyDescent="0.2">
      <c r="A170" s="1"/>
    </row>
    <row r="171" spans="1:1" ht="12.75" x14ac:dyDescent="0.2">
      <c r="A171" s="1"/>
    </row>
    <row r="172" spans="1:1" ht="12.75" x14ac:dyDescent="0.2">
      <c r="A172" s="1"/>
    </row>
    <row r="173" spans="1:1" ht="12.75" x14ac:dyDescent="0.2">
      <c r="A173" s="1"/>
    </row>
    <row r="174" spans="1:1" ht="12.75" x14ac:dyDescent="0.2">
      <c r="A174" s="1"/>
    </row>
    <row r="175" spans="1:1" ht="12.75" x14ac:dyDescent="0.2">
      <c r="A175" s="1"/>
    </row>
    <row r="176" spans="1:1" ht="12.75" x14ac:dyDescent="0.2">
      <c r="A176" s="1"/>
    </row>
    <row r="177" spans="1:1" ht="12.75" x14ac:dyDescent="0.2">
      <c r="A177" s="1"/>
    </row>
    <row r="178" spans="1:1" ht="12.75" x14ac:dyDescent="0.2">
      <c r="A178" s="1"/>
    </row>
    <row r="179" spans="1:1" ht="12.75" x14ac:dyDescent="0.2">
      <c r="A179" s="1"/>
    </row>
    <row r="180" spans="1:1" ht="12.75" x14ac:dyDescent="0.2">
      <c r="A180" s="1"/>
    </row>
    <row r="181" spans="1:1" ht="12.75" x14ac:dyDescent="0.2">
      <c r="A181" s="1"/>
    </row>
    <row r="182" spans="1:1" ht="12.75" x14ac:dyDescent="0.2">
      <c r="A182" s="1"/>
    </row>
    <row r="183" spans="1:1" ht="12.75" x14ac:dyDescent="0.2">
      <c r="A183" s="1"/>
    </row>
    <row r="184" spans="1:1" ht="12.75" x14ac:dyDescent="0.2">
      <c r="A184" s="1"/>
    </row>
    <row r="185" spans="1:1" ht="12.75" x14ac:dyDescent="0.2">
      <c r="A185" s="1"/>
    </row>
    <row r="186" spans="1:1" ht="12.75" x14ac:dyDescent="0.2">
      <c r="A186" s="1"/>
    </row>
    <row r="187" spans="1:1" ht="12.75" x14ac:dyDescent="0.2">
      <c r="A187" s="1"/>
    </row>
    <row r="188" spans="1:1" ht="12.75" x14ac:dyDescent="0.2">
      <c r="A188" s="1"/>
    </row>
    <row r="189" spans="1:1" ht="12.75" x14ac:dyDescent="0.2">
      <c r="A189" s="1"/>
    </row>
    <row r="190" spans="1:1" ht="12.75" x14ac:dyDescent="0.2">
      <c r="A190" s="1"/>
    </row>
    <row r="191" spans="1:1" ht="12.75" x14ac:dyDescent="0.2">
      <c r="A191" s="1"/>
    </row>
    <row r="192" spans="1:1" ht="12.75" x14ac:dyDescent="0.2">
      <c r="A192" s="1"/>
    </row>
    <row r="193" spans="1:1" ht="12.75" x14ac:dyDescent="0.2">
      <c r="A193" s="1"/>
    </row>
    <row r="194" spans="1:1" ht="12.75" x14ac:dyDescent="0.2">
      <c r="A194" s="1"/>
    </row>
    <row r="195" spans="1:1" ht="12.75" x14ac:dyDescent="0.2">
      <c r="A195" s="1"/>
    </row>
    <row r="196" spans="1:1" ht="12.75" x14ac:dyDescent="0.2">
      <c r="A196" s="1"/>
    </row>
    <row r="197" spans="1:1" ht="12.75" x14ac:dyDescent="0.2">
      <c r="A197" s="1"/>
    </row>
    <row r="198" spans="1:1" ht="12.75" x14ac:dyDescent="0.2">
      <c r="A198" s="1"/>
    </row>
    <row r="199" spans="1:1" ht="12.75" x14ac:dyDescent="0.2">
      <c r="A199" s="1"/>
    </row>
    <row r="200" spans="1:1" ht="12.75" x14ac:dyDescent="0.2">
      <c r="A200" s="1"/>
    </row>
    <row r="201" spans="1:1" ht="12.75" x14ac:dyDescent="0.2">
      <c r="A201" s="1"/>
    </row>
    <row r="202" spans="1:1" ht="12.75" x14ac:dyDescent="0.2">
      <c r="A202" s="1"/>
    </row>
    <row r="203" spans="1:1" ht="12.75" x14ac:dyDescent="0.2">
      <c r="A203" s="1"/>
    </row>
    <row r="204" spans="1:1" ht="12.75" x14ac:dyDescent="0.2">
      <c r="A204" s="1"/>
    </row>
    <row r="205" spans="1:1" ht="12.75" x14ac:dyDescent="0.2">
      <c r="A205" s="1"/>
    </row>
    <row r="206" spans="1:1" ht="12.75" x14ac:dyDescent="0.2">
      <c r="A206" s="1"/>
    </row>
    <row r="207" spans="1:1" ht="12.75" x14ac:dyDescent="0.2">
      <c r="A207" s="1"/>
    </row>
    <row r="208" spans="1:1" ht="12.75" x14ac:dyDescent="0.2">
      <c r="A208" s="1"/>
    </row>
    <row r="209" spans="1:1" ht="12.75" x14ac:dyDescent="0.2">
      <c r="A209" s="1"/>
    </row>
    <row r="210" spans="1:1" ht="12.75" x14ac:dyDescent="0.2">
      <c r="A210" s="1"/>
    </row>
    <row r="211" spans="1:1" ht="12.75" x14ac:dyDescent="0.2">
      <c r="A211" s="1"/>
    </row>
    <row r="212" spans="1:1" ht="12.75" x14ac:dyDescent="0.2">
      <c r="A212" s="1"/>
    </row>
    <row r="213" spans="1:1" ht="12.75" x14ac:dyDescent="0.2">
      <c r="A213" s="1"/>
    </row>
    <row r="214" spans="1:1" ht="12.75" x14ac:dyDescent="0.2">
      <c r="A214" s="1"/>
    </row>
    <row r="215" spans="1:1" ht="12.75" x14ac:dyDescent="0.2">
      <c r="A215" s="1"/>
    </row>
    <row r="216" spans="1:1" ht="12.75" x14ac:dyDescent="0.2">
      <c r="A216" s="1"/>
    </row>
    <row r="217" spans="1:1" ht="12.75" x14ac:dyDescent="0.2">
      <c r="A217" s="1"/>
    </row>
    <row r="218" spans="1:1" ht="12.75" x14ac:dyDescent="0.2">
      <c r="A218" s="1"/>
    </row>
    <row r="219" spans="1:1" ht="12.75" x14ac:dyDescent="0.2">
      <c r="A219" s="1"/>
    </row>
    <row r="220" spans="1:1" ht="12.75" x14ac:dyDescent="0.2">
      <c r="A220" s="1"/>
    </row>
    <row r="221" spans="1:1" ht="12.75" x14ac:dyDescent="0.2">
      <c r="A221" s="1"/>
    </row>
    <row r="222" spans="1:1" ht="12.75" x14ac:dyDescent="0.2">
      <c r="A222" s="1"/>
    </row>
    <row r="223" spans="1:1" ht="12.75" x14ac:dyDescent="0.2">
      <c r="A223" s="1"/>
    </row>
    <row r="224" spans="1:1" ht="12.75" x14ac:dyDescent="0.2">
      <c r="A224" s="1"/>
    </row>
    <row r="225" spans="1:1" ht="12.75" x14ac:dyDescent="0.2">
      <c r="A225" s="1"/>
    </row>
    <row r="226" spans="1:1" ht="12.75" x14ac:dyDescent="0.2">
      <c r="A226" s="1"/>
    </row>
    <row r="227" spans="1:1" ht="12.75" x14ac:dyDescent="0.2">
      <c r="A227" s="1"/>
    </row>
    <row r="228" spans="1:1" ht="12.75" x14ac:dyDescent="0.2">
      <c r="A228" s="1"/>
    </row>
    <row r="229" spans="1:1" ht="12.75" x14ac:dyDescent="0.2">
      <c r="A229" s="1"/>
    </row>
    <row r="230" spans="1:1" ht="12.75" x14ac:dyDescent="0.2">
      <c r="A230" s="1"/>
    </row>
    <row r="231" spans="1:1" ht="12.75" x14ac:dyDescent="0.2">
      <c r="A231" s="1"/>
    </row>
    <row r="232" spans="1:1" ht="12.75" x14ac:dyDescent="0.2">
      <c r="A232" s="1"/>
    </row>
    <row r="233" spans="1:1" ht="12.75" x14ac:dyDescent="0.2">
      <c r="A233" s="1"/>
    </row>
    <row r="234" spans="1:1" ht="12.75" x14ac:dyDescent="0.2">
      <c r="A234" s="1"/>
    </row>
    <row r="235" spans="1:1" ht="12.75" x14ac:dyDescent="0.2">
      <c r="A235" s="1"/>
    </row>
    <row r="236" spans="1:1" ht="12.75" x14ac:dyDescent="0.2">
      <c r="A236" s="1"/>
    </row>
    <row r="237" spans="1:1" ht="12.75" x14ac:dyDescent="0.2">
      <c r="A237" s="1"/>
    </row>
    <row r="238" spans="1:1" ht="12.75" x14ac:dyDescent="0.2">
      <c r="A238" s="1"/>
    </row>
    <row r="239" spans="1:1" ht="12.75" x14ac:dyDescent="0.2">
      <c r="A239" s="1"/>
    </row>
    <row r="240" spans="1:1" ht="12.75" x14ac:dyDescent="0.2">
      <c r="A240" s="1"/>
    </row>
    <row r="241" spans="1:1" ht="12.75" x14ac:dyDescent="0.2">
      <c r="A241" s="1"/>
    </row>
    <row r="242" spans="1:1" ht="12.75" x14ac:dyDescent="0.2">
      <c r="A242" s="1"/>
    </row>
    <row r="243" spans="1:1" ht="12.75" x14ac:dyDescent="0.2">
      <c r="A243" s="1"/>
    </row>
    <row r="244" spans="1:1" ht="12.75" x14ac:dyDescent="0.2">
      <c r="A244" s="1"/>
    </row>
    <row r="245" spans="1:1" ht="12.75" x14ac:dyDescent="0.2">
      <c r="A245" s="1"/>
    </row>
    <row r="246" spans="1:1" ht="12.75" x14ac:dyDescent="0.2">
      <c r="A246" s="1"/>
    </row>
    <row r="247" spans="1:1" ht="12.75" x14ac:dyDescent="0.2">
      <c r="A247" s="1"/>
    </row>
    <row r="248" spans="1:1" ht="12.75" x14ac:dyDescent="0.2">
      <c r="A248" s="1"/>
    </row>
    <row r="249" spans="1:1" ht="12.75" x14ac:dyDescent="0.2">
      <c r="A249" s="1"/>
    </row>
    <row r="250" spans="1:1" ht="12.75" x14ac:dyDescent="0.2">
      <c r="A250" s="1"/>
    </row>
    <row r="251" spans="1:1" ht="12.75" x14ac:dyDescent="0.2">
      <c r="A251" s="1"/>
    </row>
    <row r="252" spans="1:1" ht="12.75" x14ac:dyDescent="0.2">
      <c r="A252" s="1"/>
    </row>
    <row r="253" spans="1:1" ht="12.75" x14ac:dyDescent="0.2">
      <c r="A253" s="1"/>
    </row>
    <row r="254" spans="1:1" ht="12.75" x14ac:dyDescent="0.2">
      <c r="A254" s="1"/>
    </row>
    <row r="255" spans="1:1" ht="12.75" x14ac:dyDescent="0.2">
      <c r="A255" s="1"/>
    </row>
    <row r="256" spans="1:1" ht="12.75" x14ac:dyDescent="0.2">
      <c r="A256" s="1"/>
    </row>
    <row r="257" spans="1:1" ht="12.75" x14ac:dyDescent="0.2">
      <c r="A257" s="1"/>
    </row>
    <row r="258" spans="1:1" ht="12.75" x14ac:dyDescent="0.2">
      <c r="A258" s="1"/>
    </row>
    <row r="259" spans="1:1" ht="12.75" x14ac:dyDescent="0.2">
      <c r="A259" s="1"/>
    </row>
    <row r="260" spans="1:1" ht="12.75" x14ac:dyDescent="0.2">
      <c r="A260" s="1"/>
    </row>
    <row r="261" spans="1:1" ht="12.75" x14ac:dyDescent="0.2">
      <c r="A261" s="1"/>
    </row>
    <row r="262" spans="1:1" ht="12.75" x14ac:dyDescent="0.2">
      <c r="A262" s="1"/>
    </row>
    <row r="263" spans="1:1" ht="12.75" x14ac:dyDescent="0.2">
      <c r="A263" s="1"/>
    </row>
    <row r="264" spans="1:1" ht="12.75" x14ac:dyDescent="0.2">
      <c r="A264" s="1"/>
    </row>
    <row r="265" spans="1:1" ht="12.75" x14ac:dyDescent="0.2">
      <c r="A265" s="1"/>
    </row>
    <row r="266" spans="1:1" ht="12.75" x14ac:dyDescent="0.2">
      <c r="A266" s="1"/>
    </row>
    <row r="267" spans="1:1" ht="12.75" x14ac:dyDescent="0.2">
      <c r="A267" s="1"/>
    </row>
    <row r="268" spans="1:1" ht="12.75" x14ac:dyDescent="0.2">
      <c r="A268" s="1"/>
    </row>
    <row r="269" spans="1:1" ht="12.75" x14ac:dyDescent="0.2">
      <c r="A269" s="1"/>
    </row>
    <row r="270" spans="1:1" ht="12.75" x14ac:dyDescent="0.2">
      <c r="A270" s="1"/>
    </row>
    <row r="271" spans="1:1" ht="12.75" x14ac:dyDescent="0.2">
      <c r="A271" s="1"/>
    </row>
    <row r="272" spans="1:1" ht="12.75" x14ac:dyDescent="0.2">
      <c r="A272" s="1"/>
    </row>
    <row r="273" spans="1:1" ht="12.75" x14ac:dyDescent="0.2">
      <c r="A273" s="1"/>
    </row>
    <row r="274" spans="1:1" ht="12.75" x14ac:dyDescent="0.2">
      <c r="A274" s="1"/>
    </row>
    <row r="275" spans="1:1" ht="12.75" x14ac:dyDescent="0.2">
      <c r="A275" s="1"/>
    </row>
    <row r="276" spans="1:1" ht="12.75" x14ac:dyDescent="0.2">
      <c r="A276" s="1"/>
    </row>
    <row r="277" spans="1:1" ht="12.75" x14ac:dyDescent="0.2">
      <c r="A277" s="1"/>
    </row>
    <row r="278" spans="1:1" ht="12.75" x14ac:dyDescent="0.2">
      <c r="A278" s="1"/>
    </row>
    <row r="279" spans="1:1" ht="12.75" x14ac:dyDescent="0.2">
      <c r="A279" s="1"/>
    </row>
    <row r="280" spans="1:1" ht="12.75" x14ac:dyDescent="0.2">
      <c r="A280" s="1"/>
    </row>
    <row r="281" spans="1:1" ht="12.75" x14ac:dyDescent="0.2">
      <c r="A281" s="1"/>
    </row>
    <row r="282" spans="1:1" ht="12.75" x14ac:dyDescent="0.2">
      <c r="A282" s="1"/>
    </row>
    <row r="283" spans="1:1" ht="12.75" x14ac:dyDescent="0.2">
      <c r="A283" s="1"/>
    </row>
    <row r="284" spans="1:1" ht="12.75" x14ac:dyDescent="0.2">
      <c r="A284" s="1"/>
    </row>
    <row r="285" spans="1:1" ht="12.75" x14ac:dyDescent="0.2">
      <c r="A285" s="1"/>
    </row>
    <row r="286" spans="1:1" ht="12.75" x14ac:dyDescent="0.2">
      <c r="A286" s="1"/>
    </row>
    <row r="287" spans="1:1" ht="12.75" x14ac:dyDescent="0.2">
      <c r="A287" s="1"/>
    </row>
    <row r="288" spans="1:1" ht="12.75" x14ac:dyDescent="0.2">
      <c r="A288" s="1"/>
    </row>
    <row r="289" spans="1:1" ht="12.75" x14ac:dyDescent="0.2">
      <c r="A289" s="1"/>
    </row>
    <row r="290" spans="1:1" ht="12.75" x14ac:dyDescent="0.2">
      <c r="A290" s="1"/>
    </row>
    <row r="291" spans="1:1" ht="12.75" x14ac:dyDescent="0.2">
      <c r="A291" s="1"/>
    </row>
    <row r="292" spans="1:1" ht="12.75" x14ac:dyDescent="0.2">
      <c r="A292" s="1"/>
    </row>
    <row r="293" spans="1:1" ht="12.75" x14ac:dyDescent="0.2">
      <c r="A293" s="1"/>
    </row>
    <row r="294" spans="1:1" ht="12.75" x14ac:dyDescent="0.2">
      <c r="A294" s="1"/>
    </row>
    <row r="295" spans="1:1" ht="12.75" x14ac:dyDescent="0.2">
      <c r="A295" s="1"/>
    </row>
    <row r="296" spans="1:1" ht="12.75" x14ac:dyDescent="0.2">
      <c r="A296" s="1"/>
    </row>
    <row r="297" spans="1:1" ht="12.75" x14ac:dyDescent="0.2">
      <c r="A297" s="1"/>
    </row>
    <row r="298" spans="1:1" ht="12.75" x14ac:dyDescent="0.2">
      <c r="A298" s="1"/>
    </row>
    <row r="299" spans="1:1" ht="12.75" x14ac:dyDescent="0.2">
      <c r="A299" s="1"/>
    </row>
    <row r="300" spans="1:1" ht="12.75" x14ac:dyDescent="0.2">
      <c r="A300" s="1"/>
    </row>
    <row r="301" spans="1:1" ht="12.75" x14ac:dyDescent="0.2">
      <c r="A301" s="1"/>
    </row>
    <row r="302" spans="1:1" ht="12.75" x14ac:dyDescent="0.2">
      <c r="A302" s="1"/>
    </row>
    <row r="303" spans="1:1" ht="12.75" x14ac:dyDescent="0.2">
      <c r="A303" s="1"/>
    </row>
    <row r="304" spans="1:1" ht="12.75" x14ac:dyDescent="0.2">
      <c r="A304" s="1"/>
    </row>
    <row r="305" spans="1:1" ht="12.75" x14ac:dyDescent="0.2">
      <c r="A305" s="1"/>
    </row>
    <row r="306" spans="1:1" ht="12.75" x14ac:dyDescent="0.2">
      <c r="A306" s="1"/>
    </row>
    <row r="307" spans="1:1" ht="12.75" x14ac:dyDescent="0.2">
      <c r="A307" s="1"/>
    </row>
    <row r="308" spans="1:1" ht="12.75" x14ac:dyDescent="0.2">
      <c r="A308" s="1"/>
    </row>
    <row r="309" spans="1:1" ht="12.75" x14ac:dyDescent="0.2">
      <c r="A309" s="1"/>
    </row>
    <row r="310" spans="1:1" ht="12.75" x14ac:dyDescent="0.2">
      <c r="A310" s="1"/>
    </row>
    <row r="311" spans="1:1" ht="12.75" x14ac:dyDescent="0.2">
      <c r="A311" s="1"/>
    </row>
    <row r="312" spans="1:1" ht="12.75" x14ac:dyDescent="0.2">
      <c r="A312" s="1"/>
    </row>
    <row r="313" spans="1:1" ht="12.75" x14ac:dyDescent="0.2">
      <c r="A313" s="1"/>
    </row>
    <row r="314" spans="1:1" ht="12.75" x14ac:dyDescent="0.2">
      <c r="A314" s="1"/>
    </row>
    <row r="315" spans="1:1" ht="12.75" x14ac:dyDescent="0.2">
      <c r="A315" s="1"/>
    </row>
    <row r="316" spans="1:1" ht="12.75" x14ac:dyDescent="0.2">
      <c r="A316" s="1"/>
    </row>
    <row r="317" spans="1:1" ht="12.75" x14ac:dyDescent="0.2">
      <c r="A317" s="1"/>
    </row>
    <row r="318" spans="1:1" ht="12.75" x14ac:dyDescent="0.2">
      <c r="A318" s="1"/>
    </row>
    <row r="319" spans="1:1" ht="12.75" x14ac:dyDescent="0.2">
      <c r="A319" s="1"/>
    </row>
    <row r="320" spans="1:1" ht="12.75" x14ac:dyDescent="0.2">
      <c r="A320" s="1"/>
    </row>
    <row r="321" spans="1:1" ht="12.75" x14ac:dyDescent="0.2">
      <c r="A321" s="1"/>
    </row>
    <row r="322" spans="1:1" ht="12.75" x14ac:dyDescent="0.2">
      <c r="A322" s="1"/>
    </row>
    <row r="323" spans="1:1" ht="12.75" x14ac:dyDescent="0.2">
      <c r="A323" s="1"/>
    </row>
    <row r="324" spans="1:1" ht="12.75" x14ac:dyDescent="0.2">
      <c r="A324" s="1"/>
    </row>
    <row r="325" spans="1:1" ht="12.75" x14ac:dyDescent="0.2">
      <c r="A325" s="1"/>
    </row>
    <row r="326" spans="1:1" ht="12.75" x14ac:dyDescent="0.2">
      <c r="A326" s="1"/>
    </row>
    <row r="327" spans="1:1" ht="12.75" x14ac:dyDescent="0.2">
      <c r="A327" s="1"/>
    </row>
    <row r="328" spans="1:1" ht="12.75" x14ac:dyDescent="0.2">
      <c r="A328" s="1"/>
    </row>
    <row r="329" spans="1:1" ht="12.75" x14ac:dyDescent="0.2">
      <c r="A329" s="1"/>
    </row>
    <row r="330" spans="1:1" ht="12.75" x14ac:dyDescent="0.2">
      <c r="A330" s="1"/>
    </row>
    <row r="331" spans="1:1" ht="12.75" x14ac:dyDescent="0.2">
      <c r="A331" s="1"/>
    </row>
    <row r="332" spans="1:1" ht="12.75" x14ac:dyDescent="0.2">
      <c r="A332" s="1"/>
    </row>
    <row r="333" spans="1:1" ht="12.75" x14ac:dyDescent="0.2">
      <c r="A333" s="1"/>
    </row>
    <row r="334" spans="1:1" ht="12.75" x14ac:dyDescent="0.2">
      <c r="A334" s="1"/>
    </row>
    <row r="335" spans="1:1" ht="12.75" x14ac:dyDescent="0.2">
      <c r="A335" s="1"/>
    </row>
    <row r="336" spans="1:1" ht="12.75" x14ac:dyDescent="0.2">
      <c r="A336" s="1"/>
    </row>
    <row r="337" spans="1:1" ht="12.75" x14ac:dyDescent="0.2">
      <c r="A337" s="1"/>
    </row>
    <row r="338" spans="1:1" ht="12.75" x14ac:dyDescent="0.2">
      <c r="A338" s="1"/>
    </row>
    <row r="339" spans="1:1" ht="12.75" x14ac:dyDescent="0.2">
      <c r="A339" s="1"/>
    </row>
    <row r="340" spans="1:1" ht="12.75" x14ac:dyDescent="0.2">
      <c r="A340" s="1"/>
    </row>
    <row r="341" spans="1:1" ht="12.75" x14ac:dyDescent="0.2">
      <c r="A341" s="1"/>
    </row>
    <row r="342" spans="1:1" ht="12.75" x14ac:dyDescent="0.2">
      <c r="A342" s="1"/>
    </row>
    <row r="343" spans="1:1" ht="12.75" x14ac:dyDescent="0.2">
      <c r="A343" s="1"/>
    </row>
    <row r="344" spans="1:1" ht="12.75" x14ac:dyDescent="0.2">
      <c r="A344" s="1"/>
    </row>
    <row r="345" spans="1:1" ht="12.75" x14ac:dyDescent="0.2">
      <c r="A345" s="1"/>
    </row>
    <row r="346" spans="1:1" ht="12.75" x14ac:dyDescent="0.2">
      <c r="A346" s="1"/>
    </row>
    <row r="347" spans="1:1" ht="12.75" x14ac:dyDescent="0.2">
      <c r="A347" s="1"/>
    </row>
    <row r="348" spans="1:1" ht="12.75" x14ac:dyDescent="0.2">
      <c r="A348" s="1"/>
    </row>
    <row r="349" spans="1:1" ht="12.75" x14ac:dyDescent="0.2">
      <c r="A349" s="1"/>
    </row>
    <row r="350" spans="1:1" ht="12.75" x14ac:dyDescent="0.2">
      <c r="A350" s="1"/>
    </row>
    <row r="351" spans="1:1" ht="12.75" x14ac:dyDescent="0.2">
      <c r="A351" s="1"/>
    </row>
    <row r="352" spans="1:1" ht="12.75" x14ac:dyDescent="0.2">
      <c r="A352" s="1"/>
    </row>
    <row r="353" spans="1:1" ht="12.75" x14ac:dyDescent="0.2">
      <c r="A353" s="1"/>
    </row>
    <row r="354" spans="1:1" ht="12.75" x14ac:dyDescent="0.2">
      <c r="A354" s="1"/>
    </row>
    <row r="355" spans="1:1" ht="12.75" x14ac:dyDescent="0.2">
      <c r="A355" s="1"/>
    </row>
    <row r="356" spans="1:1" ht="12.75" x14ac:dyDescent="0.2">
      <c r="A356" s="1"/>
    </row>
    <row r="357" spans="1:1" ht="12.75" x14ac:dyDescent="0.2">
      <c r="A357" s="1"/>
    </row>
    <row r="358" spans="1:1" ht="12.75" x14ac:dyDescent="0.2">
      <c r="A358" s="1"/>
    </row>
    <row r="359" spans="1:1" ht="12.75" x14ac:dyDescent="0.2">
      <c r="A359" s="1"/>
    </row>
    <row r="360" spans="1:1" ht="12.75" x14ac:dyDescent="0.2">
      <c r="A360" s="1"/>
    </row>
    <row r="361" spans="1:1" ht="12.75" x14ac:dyDescent="0.2">
      <c r="A361" s="1"/>
    </row>
    <row r="362" spans="1:1" ht="12.75" x14ac:dyDescent="0.2">
      <c r="A362" s="1"/>
    </row>
    <row r="363" spans="1:1" ht="12.75" x14ac:dyDescent="0.2">
      <c r="A363" s="1"/>
    </row>
    <row r="364" spans="1:1" ht="12.75" x14ac:dyDescent="0.2">
      <c r="A364" s="1"/>
    </row>
    <row r="365" spans="1:1" ht="12.75" x14ac:dyDescent="0.2">
      <c r="A365" s="1"/>
    </row>
    <row r="366" spans="1:1" ht="12.75" x14ac:dyDescent="0.2">
      <c r="A366" s="1"/>
    </row>
    <row r="367" spans="1:1" ht="12.75" x14ac:dyDescent="0.2">
      <c r="A367" s="1"/>
    </row>
    <row r="368" spans="1:1" ht="12.75" x14ac:dyDescent="0.2">
      <c r="A368" s="1"/>
    </row>
    <row r="369" spans="1:1" ht="12.75" x14ac:dyDescent="0.2">
      <c r="A369" s="1"/>
    </row>
    <row r="370" spans="1:1" ht="12.75" x14ac:dyDescent="0.2">
      <c r="A370" s="1"/>
    </row>
    <row r="371" spans="1:1" ht="12.75" x14ac:dyDescent="0.2">
      <c r="A371" s="1"/>
    </row>
    <row r="372" spans="1:1" ht="12.75" x14ac:dyDescent="0.2">
      <c r="A372" s="1"/>
    </row>
    <row r="373" spans="1:1" ht="12.75" x14ac:dyDescent="0.2">
      <c r="A373" s="1"/>
    </row>
    <row r="374" spans="1:1" ht="12.75" x14ac:dyDescent="0.2">
      <c r="A374" s="1"/>
    </row>
    <row r="375" spans="1:1" ht="12.75" x14ac:dyDescent="0.2">
      <c r="A375" s="1"/>
    </row>
    <row r="376" spans="1:1" ht="12.75" x14ac:dyDescent="0.2">
      <c r="A376" s="1"/>
    </row>
    <row r="377" spans="1:1" ht="12.75" x14ac:dyDescent="0.2">
      <c r="A377" s="1"/>
    </row>
    <row r="378" spans="1:1" ht="12.75" x14ac:dyDescent="0.2">
      <c r="A378" s="1"/>
    </row>
    <row r="379" spans="1:1" ht="12.75" x14ac:dyDescent="0.2">
      <c r="A379" s="1"/>
    </row>
    <row r="380" spans="1:1" ht="12.75" x14ac:dyDescent="0.2">
      <c r="A380" s="1"/>
    </row>
    <row r="381" spans="1:1" ht="12.75" x14ac:dyDescent="0.2">
      <c r="A381" s="1"/>
    </row>
    <row r="382" spans="1:1" ht="12.75" x14ac:dyDescent="0.2">
      <c r="A382" s="1"/>
    </row>
    <row r="383" spans="1:1" ht="12.75" x14ac:dyDescent="0.2">
      <c r="A383" s="1"/>
    </row>
    <row r="384" spans="1:1" ht="12.75" x14ac:dyDescent="0.2">
      <c r="A384" s="1"/>
    </row>
    <row r="385" spans="1:1" ht="12.75" x14ac:dyDescent="0.2">
      <c r="A385" s="1"/>
    </row>
    <row r="386" spans="1:1" ht="12.75" x14ac:dyDescent="0.2">
      <c r="A386" s="1"/>
    </row>
    <row r="387" spans="1:1" ht="12.75" x14ac:dyDescent="0.2">
      <c r="A387" s="1"/>
    </row>
    <row r="388" spans="1:1" ht="12.75" x14ac:dyDescent="0.2">
      <c r="A388" s="1"/>
    </row>
    <row r="389" spans="1:1" ht="12.75" x14ac:dyDescent="0.2">
      <c r="A389" s="1"/>
    </row>
    <row r="390" spans="1:1" ht="12.75" x14ac:dyDescent="0.2">
      <c r="A390" s="1"/>
    </row>
    <row r="391" spans="1:1" ht="12.75" x14ac:dyDescent="0.2">
      <c r="A391" s="1"/>
    </row>
    <row r="392" spans="1:1" ht="12.75" x14ac:dyDescent="0.2">
      <c r="A392" s="1"/>
    </row>
    <row r="393" spans="1:1" ht="12.75" x14ac:dyDescent="0.2">
      <c r="A393" s="1"/>
    </row>
    <row r="394" spans="1:1" ht="12.75" x14ac:dyDescent="0.2">
      <c r="A394" s="1"/>
    </row>
    <row r="395" spans="1:1" ht="12.75" x14ac:dyDescent="0.2">
      <c r="A395" s="1"/>
    </row>
    <row r="396" spans="1:1" ht="12.75" x14ac:dyDescent="0.2">
      <c r="A396" s="1"/>
    </row>
    <row r="397" spans="1:1" ht="12.75" x14ac:dyDescent="0.2">
      <c r="A397" s="1"/>
    </row>
    <row r="398" spans="1:1" ht="12.75" x14ac:dyDescent="0.2">
      <c r="A398" s="1"/>
    </row>
    <row r="399" spans="1:1" ht="12.75" x14ac:dyDescent="0.2">
      <c r="A399" s="1"/>
    </row>
    <row r="400" spans="1:1" ht="12.75" x14ac:dyDescent="0.2">
      <c r="A400" s="1"/>
    </row>
    <row r="401" spans="1:1" ht="12.75" x14ac:dyDescent="0.2">
      <c r="A401" s="1"/>
    </row>
    <row r="402" spans="1:1" ht="12.75" x14ac:dyDescent="0.2">
      <c r="A402" s="1"/>
    </row>
    <row r="403" spans="1:1" ht="12.75" x14ac:dyDescent="0.2">
      <c r="A403" s="1"/>
    </row>
    <row r="404" spans="1:1" ht="12.75" x14ac:dyDescent="0.2">
      <c r="A404" s="1"/>
    </row>
    <row r="405" spans="1:1" ht="12.75" x14ac:dyDescent="0.2">
      <c r="A405" s="1"/>
    </row>
    <row r="406" spans="1:1" ht="12.75" x14ac:dyDescent="0.2">
      <c r="A406" s="1"/>
    </row>
    <row r="407" spans="1:1" ht="12.75" x14ac:dyDescent="0.2">
      <c r="A407" s="1"/>
    </row>
    <row r="408" spans="1:1" ht="12.75" x14ac:dyDescent="0.2">
      <c r="A408" s="1"/>
    </row>
    <row r="409" spans="1:1" ht="12.75" x14ac:dyDescent="0.2">
      <c r="A409" s="1"/>
    </row>
    <row r="410" spans="1:1" ht="12.75" x14ac:dyDescent="0.2">
      <c r="A410" s="1"/>
    </row>
    <row r="411" spans="1:1" ht="12.75" x14ac:dyDescent="0.2">
      <c r="A411" s="1"/>
    </row>
    <row r="412" spans="1:1" ht="12.75" x14ac:dyDescent="0.2">
      <c r="A412" s="1"/>
    </row>
    <row r="413" spans="1:1" ht="12.75" x14ac:dyDescent="0.2">
      <c r="A413" s="1"/>
    </row>
    <row r="414" spans="1:1" ht="12.75" x14ac:dyDescent="0.2">
      <c r="A414" s="1"/>
    </row>
    <row r="415" spans="1:1" ht="12.75" x14ac:dyDescent="0.2">
      <c r="A415" s="1"/>
    </row>
    <row r="416" spans="1:1" ht="12.75" x14ac:dyDescent="0.2">
      <c r="A416" s="1"/>
    </row>
    <row r="417" spans="1:1" ht="12.75" x14ac:dyDescent="0.2">
      <c r="A417" s="1"/>
    </row>
    <row r="418" spans="1:1" ht="12.75" x14ac:dyDescent="0.2">
      <c r="A418" s="1"/>
    </row>
    <row r="419" spans="1:1" ht="12.75" x14ac:dyDescent="0.2">
      <c r="A419" s="1"/>
    </row>
    <row r="420" spans="1:1" ht="12.75" x14ac:dyDescent="0.2">
      <c r="A420" s="1"/>
    </row>
    <row r="421" spans="1:1" ht="12.75" x14ac:dyDescent="0.2">
      <c r="A421" s="1"/>
    </row>
    <row r="422" spans="1:1" ht="12.75" x14ac:dyDescent="0.2">
      <c r="A422" s="1"/>
    </row>
    <row r="423" spans="1:1" ht="12.75" x14ac:dyDescent="0.2">
      <c r="A423" s="1"/>
    </row>
    <row r="424" spans="1:1" ht="12.75" x14ac:dyDescent="0.2">
      <c r="A424" s="1"/>
    </row>
    <row r="425" spans="1:1" ht="12.75" x14ac:dyDescent="0.2">
      <c r="A425" s="1"/>
    </row>
    <row r="426" spans="1:1" ht="12.75" x14ac:dyDescent="0.2">
      <c r="A426" s="1"/>
    </row>
    <row r="427" spans="1:1" ht="12.75" x14ac:dyDescent="0.2">
      <c r="A427" s="1"/>
    </row>
    <row r="428" spans="1:1" ht="12.75" x14ac:dyDescent="0.2">
      <c r="A428" s="1"/>
    </row>
    <row r="429" spans="1:1" ht="12.75" x14ac:dyDescent="0.2">
      <c r="A429" s="1"/>
    </row>
    <row r="430" spans="1:1" ht="12.75" x14ac:dyDescent="0.2">
      <c r="A430" s="1"/>
    </row>
    <row r="431" spans="1:1" ht="12.75" x14ac:dyDescent="0.2">
      <c r="A431" s="1"/>
    </row>
    <row r="432" spans="1:1" ht="12.75" x14ac:dyDescent="0.2">
      <c r="A432" s="1"/>
    </row>
    <row r="433" spans="1:1" ht="12.75" x14ac:dyDescent="0.2">
      <c r="A433" s="1"/>
    </row>
    <row r="434" spans="1:1" ht="12.75" x14ac:dyDescent="0.2">
      <c r="A434" s="1"/>
    </row>
    <row r="435" spans="1:1" ht="12.75" x14ac:dyDescent="0.2">
      <c r="A435" s="1"/>
    </row>
    <row r="436" spans="1:1" ht="12.75" x14ac:dyDescent="0.2">
      <c r="A436" s="1"/>
    </row>
    <row r="437" spans="1:1" ht="12.75" x14ac:dyDescent="0.2">
      <c r="A437" s="1"/>
    </row>
    <row r="438" spans="1:1" ht="12.75" x14ac:dyDescent="0.2">
      <c r="A438" s="1"/>
    </row>
    <row r="439" spans="1:1" ht="12.75" x14ac:dyDescent="0.2">
      <c r="A439" s="1"/>
    </row>
    <row r="440" spans="1:1" ht="12.75" x14ac:dyDescent="0.2">
      <c r="A440" s="1"/>
    </row>
    <row r="441" spans="1:1" ht="12.75" x14ac:dyDescent="0.2">
      <c r="A441" s="1"/>
    </row>
    <row r="442" spans="1:1" ht="12.75" x14ac:dyDescent="0.2">
      <c r="A442" s="1"/>
    </row>
    <row r="443" spans="1:1" ht="12.75" x14ac:dyDescent="0.2">
      <c r="A443" s="1"/>
    </row>
    <row r="444" spans="1:1" ht="12.75" x14ac:dyDescent="0.2">
      <c r="A444" s="1"/>
    </row>
    <row r="445" spans="1:1" ht="12.75" x14ac:dyDescent="0.2">
      <c r="A445" s="1"/>
    </row>
    <row r="446" spans="1:1" ht="12.75" x14ac:dyDescent="0.2">
      <c r="A446" s="1"/>
    </row>
    <row r="447" spans="1:1" ht="12.75" x14ac:dyDescent="0.2">
      <c r="A447" s="1"/>
    </row>
    <row r="448" spans="1:1" ht="12.75" x14ac:dyDescent="0.2">
      <c r="A448" s="1"/>
    </row>
    <row r="449" spans="1:1" ht="12.75" x14ac:dyDescent="0.2">
      <c r="A449" s="1"/>
    </row>
    <row r="450" spans="1:1" ht="12.75" x14ac:dyDescent="0.2">
      <c r="A450" s="1"/>
    </row>
    <row r="451" spans="1:1" ht="12.75" x14ac:dyDescent="0.2">
      <c r="A451" s="1"/>
    </row>
    <row r="452" spans="1:1" ht="12.75" x14ac:dyDescent="0.2">
      <c r="A452" s="1"/>
    </row>
    <row r="453" spans="1:1" ht="12.75" x14ac:dyDescent="0.2">
      <c r="A453" s="1"/>
    </row>
    <row r="454" spans="1:1" ht="12.75" x14ac:dyDescent="0.2">
      <c r="A454" s="1"/>
    </row>
    <row r="455" spans="1:1" ht="12.75" x14ac:dyDescent="0.2">
      <c r="A455" s="1"/>
    </row>
    <row r="456" spans="1:1" ht="12.75" x14ac:dyDescent="0.2">
      <c r="A456" s="1"/>
    </row>
    <row r="457" spans="1:1" ht="12.75" x14ac:dyDescent="0.2">
      <c r="A457" s="1"/>
    </row>
    <row r="458" spans="1:1" ht="12.75" x14ac:dyDescent="0.2">
      <c r="A458" s="1"/>
    </row>
    <row r="459" spans="1:1" ht="12.75" x14ac:dyDescent="0.2">
      <c r="A459" s="1"/>
    </row>
    <row r="460" spans="1:1" ht="12.75" x14ac:dyDescent="0.2">
      <c r="A460" s="1"/>
    </row>
    <row r="461" spans="1:1" ht="12.75" x14ac:dyDescent="0.2">
      <c r="A461" s="1"/>
    </row>
    <row r="462" spans="1:1" ht="12.75" x14ac:dyDescent="0.2">
      <c r="A462" s="1"/>
    </row>
    <row r="463" spans="1:1" ht="12.75" x14ac:dyDescent="0.2">
      <c r="A463" s="1"/>
    </row>
    <row r="464" spans="1:1" ht="12.75" x14ac:dyDescent="0.2">
      <c r="A464" s="1"/>
    </row>
    <row r="465" spans="1:1" ht="12.75" x14ac:dyDescent="0.2">
      <c r="A465" s="1"/>
    </row>
    <row r="466" spans="1:1" ht="12.75" x14ac:dyDescent="0.2">
      <c r="A466" s="1"/>
    </row>
    <row r="467" spans="1:1" ht="12.75" x14ac:dyDescent="0.2">
      <c r="A467" s="1"/>
    </row>
    <row r="468" spans="1:1" ht="12.75" x14ac:dyDescent="0.2">
      <c r="A468" s="1"/>
    </row>
    <row r="469" spans="1:1" ht="12.75" x14ac:dyDescent="0.2">
      <c r="A469" s="1"/>
    </row>
    <row r="470" spans="1:1" ht="12.75" x14ac:dyDescent="0.2">
      <c r="A470" s="1"/>
    </row>
    <row r="471" spans="1:1" ht="12.75" x14ac:dyDescent="0.2">
      <c r="A471" s="1"/>
    </row>
    <row r="472" spans="1:1" ht="12.75" x14ac:dyDescent="0.2">
      <c r="A472" s="1"/>
    </row>
    <row r="473" spans="1:1" ht="12.75" x14ac:dyDescent="0.2">
      <c r="A473" s="1"/>
    </row>
    <row r="474" spans="1:1" ht="12.75" x14ac:dyDescent="0.2">
      <c r="A474" s="1"/>
    </row>
    <row r="475" spans="1:1" ht="12.75" x14ac:dyDescent="0.2">
      <c r="A475" s="1"/>
    </row>
    <row r="476" spans="1:1" ht="12.75" x14ac:dyDescent="0.2">
      <c r="A476" s="1"/>
    </row>
    <row r="477" spans="1:1" ht="12.75" x14ac:dyDescent="0.2">
      <c r="A477" s="1"/>
    </row>
    <row r="478" spans="1:1" ht="12.75" x14ac:dyDescent="0.2">
      <c r="A478" s="1"/>
    </row>
    <row r="479" spans="1:1" ht="12.75" x14ac:dyDescent="0.2">
      <c r="A479" s="1"/>
    </row>
    <row r="480" spans="1:1" ht="12.75" x14ac:dyDescent="0.2">
      <c r="A480" s="1"/>
    </row>
    <row r="481" spans="1:1" ht="12.75" x14ac:dyDescent="0.2">
      <c r="A481" s="1"/>
    </row>
    <row r="482" spans="1:1" ht="12.75" x14ac:dyDescent="0.2">
      <c r="A482" s="1"/>
    </row>
    <row r="483" spans="1:1" ht="12.75" x14ac:dyDescent="0.2">
      <c r="A483" s="1"/>
    </row>
    <row r="484" spans="1:1" ht="12.75" x14ac:dyDescent="0.2">
      <c r="A484" s="1"/>
    </row>
    <row r="485" spans="1:1" ht="12.75" x14ac:dyDescent="0.2">
      <c r="A485" s="1"/>
    </row>
    <row r="486" spans="1:1" ht="12.75" x14ac:dyDescent="0.2">
      <c r="A486" s="1"/>
    </row>
    <row r="487" spans="1:1" ht="12.75" x14ac:dyDescent="0.2">
      <c r="A487" s="1"/>
    </row>
    <row r="488" spans="1:1" ht="12.75" x14ac:dyDescent="0.2">
      <c r="A488" s="1"/>
    </row>
    <row r="489" spans="1:1" ht="12.75" x14ac:dyDescent="0.2">
      <c r="A489" s="1"/>
    </row>
    <row r="490" spans="1:1" ht="12.75" x14ac:dyDescent="0.2">
      <c r="A490" s="1"/>
    </row>
    <row r="491" spans="1:1" ht="12.75" x14ac:dyDescent="0.2">
      <c r="A491" s="1"/>
    </row>
    <row r="492" spans="1:1" ht="12.75" x14ac:dyDescent="0.2">
      <c r="A492" s="1"/>
    </row>
    <row r="493" spans="1:1" ht="12.75" x14ac:dyDescent="0.2">
      <c r="A493" s="1"/>
    </row>
    <row r="494" spans="1:1" ht="12.75" x14ac:dyDescent="0.2">
      <c r="A494" s="1"/>
    </row>
    <row r="495" spans="1:1" ht="12.75" x14ac:dyDescent="0.2">
      <c r="A495" s="1"/>
    </row>
    <row r="496" spans="1:1" ht="12.75" x14ac:dyDescent="0.2">
      <c r="A496" s="1"/>
    </row>
    <row r="497" spans="1:1" ht="12.75" x14ac:dyDescent="0.2">
      <c r="A497" s="1"/>
    </row>
    <row r="498" spans="1:1" ht="12.75" x14ac:dyDescent="0.2">
      <c r="A498" s="1"/>
    </row>
    <row r="499" spans="1:1" ht="12.75" x14ac:dyDescent="0.2">
      <c r="A499" s="1"/>
    </row>
    <row r="500" spans="1:1" ht="12.75" x14ac:dyDescent="0.2">
      <c r="A500" s="1"/>
    </row>
    <row r="501" spans="1:1" ht="12.75" x14ac:dyDescent="0.2">
      <c r="A501" s="1"/>
    </row>
    <row r="502" spans="1:1" ht="12.75" x14ac:dyDescent="0.2">
      <c r="A502" s="1"/>
    </row>
    <row r="503" spans="1:1" ht="12.75" x14ac:dyDescent="0.2">
      <c r="A503" s="1"/>
    </row>
    <row r="504" spans="1:1" ht="12.75" x14ac:dyDescent="0.2">
      <c r="A504" s="1"/>
    </row>
    <row r="505" spans="1:1" ht="12.75" x14ac:dyDescent="0.2">
      <c r="A505" s="1"/>
    </row>
    <row r="506" spans="1:1" ht="12.75" x14ac:dyDescent="0.2">
      <c r="A506" s="1"/>
    </row>
    <row r="507" spans="1:1" ht="12.75" x14ac:dyDescent="0.2">
      <c r="A507" s="1"/>
    </row>
    <row r="508" spans="1:1" ht="12.75" x14ac:dyDescent="0.2">
      <c r="A508" s="1"/>
    </row>
    <row r="509" spans="1:1" ht="12.75" x14ac:dyDescent="0.2">
      <c r="A509" s="1"/>
    </row>
    <row r="510" spans="1:1" ht="12.75" x14ac:dyDescent="0.2">
      <c r="A510" s="1"/>
    </row>
    <row r="511" spans="1:1" ht="12.75" x14ac:dyDescent="0.2">
      <c r="A511" s="1"/>
    </row>
    <row r="512" spans="1:1" ht="12.75" x14ac:dyDescent="0.2">
      <c r="A512" s="1"/>
    </row>
    <row r="513" spans="1:1" ht="12.75" x14ac:dyDescent="0.2">
      <c r="A513" s="1"/>
    </row>
    <row r="514" spans="1:1" ht="12.75" x14ac:dyDescent="0.2">
      <c r="A514" s="1"/>
    </row>
    <row r="515" spans="1:1" ht="12.75" x14ac:dyDescent="0.2">
      <c r="A515" s="1"/>
    </row>
    <row r="516" spans="1:1" ht="12.75" x14ac:dyDescent="0.2">
      <c r="A516" s="1"/>
    </row>
    <row r="517" spans="1:1" ht="12.75" x14ac:dyDescent="0.2">
      <c r="A517" s="1"/>
    </row>
    <row r="518" spans="1:1" ht="12.75" x14ac:dyDescent="0.2">
      <c r="A518" s="1"/>
    </row>
    <row r="519" spans="1:1" ht="12.75" x14ac:dyDescent="0.2">
      <c r="A519" s="1"/>
    </row>
    <row r="520" spans="1:1" ht="12.75" x14ac:dyDescent="0.2">
      <c r="A520" s="1"/>
    </row>
    <row r="521" spans="1:1" ht="12.75" x14ac:dyDescent="0.2">
      <c r="A521" s="1"/>
    </row>
    <row r="522" spans="1:1" ht="12.75" x14ac:dyDescent="0.2">
      <c r="A522" s="1"/>
    </row>
    <row r="523" spans="1:1" ht="12.75" x14ac:dyDescent="0.2">
      <c r="A523" s="1"/>
    </row>
    <row r="524" spans="1:1" ht="12.75" x14ac:dyDescent="0.2">
      <c r="A524" s="1"/>
    </row>
    <row r="525" spans="1:1" ht="12.75" x14ac:dyDescent="0.2">
      <c r="A525" s="1"/>
    </row>
    <row r="526" spans="1:1" ht="12.75" x14ac:dyDescent="0.2">
      <c r="A526" s="1"/>
    </row>
    <row r="527" spans="1:1" ht="12.75" x14ac:dyDescent="0.2">
      <c r="A527" s="1"/>
    </row>
    <row r="528" spans="1:1" ht="12.75" x14ac:dyDescent="0.2">
      <c r="A528" s="1"/>
    </row>
    <row r="529" spans="1:1" ht="12.75" x14ac:dyDescent="0.2">
      <c r="A529" s="1"/>
    </row>
    <row r="530" spans="1:1" ht="12.75" x14ac:dyDescent="0.2">
      <c r="A530" s="1"/>
    </row>
    <row r="531" spans="1:1" ht="12.75" x14ac:dyDescent="0.2">
      <c r="A531" s="1"/>
    </row>
    <row r="532" spans="1:1" ht="12.75" x14ac:dyDescent="0.2">
      <c r="A532" s="1"/>
    </row>
    <row r="533" spans="1:1" ht="12.75" x14ac:dyDescent="0.2">
      <c r="A533" s="1"/>
    </row>
    <row r="534" spans="1:1" ht="12.75" x14ac:dyDescent="0.2">
      <c r="A534" s="1"/>
    </row>
    <row r="535" spans="1:1" ht="12.75" x14ac:dyDescent="0.2">
      <c r="A535" s="1"/>
    </row>
    <row r="536" spans="1:1" ht="12.75" x14ac:dyDescent="0.2">
      <c r="A536" s="1"/>
    </row>
    <row r="537" spans="1:1" ht="12.75" x14ac:dyDescent="0.2">
      <c r="A537" s="1"/>
    </row>
    <row r="538" spans="1:1" ht="12.75" x14ac:dyDescent="0.2">
      <c r="A538" s="1"/>
    </row>
    <row r="539" spans="1:1" ht="12.75" x14ac:dyDescent="0.2">
      <c r="A539" s="1"/>
    </row>
    <row r="540" spans="1:1" ht="12.75" x14ac:dyDescent="0.2">
      <c r="A540" s="1"/>
    </row>
    <row r="541" spans="1:1" ht="12.75" x14ac:dyDescent="0.2">
      <c r="A541" s="1"/>
    </row>
    <row r="542" spans="1:1" ht="12.75" x14ac:dyDescent="0.2">
      <c r="A542" s="1"/>
    </row>
    <row r="543" spans="1:1" ht="12.75" x14ac:dyDescent="0.2">
      <c r="A543" s="1"/>
    </row>
    <row r="544" spans="1:1" ht="12.75" x14ac:dyDescent="0.2">
      <c r="A544" s="1"/>
    </row>
    <row r="545" spans="1:1" ht="12.75" x14ac:dyDescent="0.2">
      <c r="A545" s="1"/>
    </row>
    <row r="546" spans="1:1" ht="12.75" x14ac:dyDescent="0.2">
      <c r="A546" s="1"/>
    </row>
    <row r="547" spans="1:1" ht="12.75" x14ac:dyDescent="0.2">
      <c r="A547" s="1"/>
    </row>
    <row r="548" spans="1:1" ht="12.75" x14ac:dyDescent="0.2">
      <c r="A548" s="1"/>
    </row>
    <row r="549" spans="1:1" ht="12.75" x14ac:dyDescent="0.2">
      <c r="A549" s="1"/>
    </row>
    <row r="550" spans="1:1" ht="12.75" x14ac:dyDescent="0.2">
      <c r="A550" s="1"/>
    </row>
    <row r="551" spans="1:1" ht="12.75" x14ac:dyDescent="0.2">
      <c r="A551" s="1"/>
    </row>
    <row r="552" spans="1:1" ht="12.75" x14ac:dyDescent="0.2">
      <c r="A552" s="1"/>
    </row>
    <row r="553" spans="1:1" ht="12.75" x14ac:dyDescent="0.2">
      <c r="A553" s="1"/>
    </row>
    <row r="554" spans="1:1" ht="12.75" x14ac:dyDescent="0.2">
      <c r="A554" s="1"/>
    </row>
    <row r="555" spans="1:1" ht="12.75" x14ac:dyDescent="0.2">
      <c r="A555" s="1"/>
    </row>
    <row r="556" spans="1:1" ht="12.75" x14ac:dyDescent="0.2">
      <c r="A556" s="1"/>
    </row>
    <row r="557" spans="1:1" ht="12.75" x14ac:dyDescent="0.2">
      <c r="A557" s="1"/>
    </row>
    <row r="558" spans="1:1" ht="12.75" x14ac:dyDescent="0.2">
      <c r="A558" s="1"/>
    </row>
    <row r="559" spans="1:1" ht="12.75" x14ac:dyDescent="0.2">
      <c r="A559" s="1"/>
    </row>
    <row r="560" spans="1:1" ht="12.75" x14ac:dyDescent="0.2">
      <c r="A560" s="1"/>
    </row>
    <row r="561" spans="1:1" ht="12.75" x14ac:dyDescent="0.2">
      <c r="A561" s="1"/>
    </row>
    <row r="562" spans="1:1" ht="12.75" x14ac:dyDescent="0.2">
      <c r="A562" s="1"/>
    </row>
    <row r="563" spans="1:1" ht="12.75" x14ac:dyDescent="0.2">
      <c r="A563" s="1"/>
    </row>
    <row r="564" spans="1:1" ht="12.75" x14ac:dyDescent="0.2">
      <c r="A564" s="1"/>
    </row>
    <row r="565" spans="1:1" ht="12.75" x14ac:dyDescent="0.2">
      <c r="A565" s="1"/>
    </row>
    <row r="566" spans="1:1" ht="12.75" x14ac:dyDescent="0.2">
      <c r="A566" s="1"/>
    </row>
    <row r="567" spans="1:1" ht="12.75" x14ac:dyDescent="0.2">
      <c r="A567" s="1"/>
    </row>
    <row r="568" spans="1:1" ht="12.75" x14ac:dyDescent="0.2">
      <c r="A568" s="1"/>
    </row>
    <row r="569" spans="1:1" ht="12.75" x14ac:dyDescent="0.2">
      <c r="A569" s="1"/>
    </row>
    <row r="570" spans="1:1" ht="12.75" x14ac:dyDescent="0.2">
      <c r="A570" s="1"/>
    </row>
    <row r="571" spans="1:1" ht="12.75" x14ac:dyDescent="0.2">
      <c r="A571" s="1"/>
    </row>
    <row r="572" spans="1:1" ht="12.75" x14ac:dyDescent="0.2">
      <c r="A572" s="1"/>
    </row>
    <row r="573" spans="1:1" ht="12.75" x14ac:dyDescent="0.2">
      <c r="A573" s="1"/>
    </row>
    <row r="574" spans="1:1" ht="12.75" x14ac:dyDescent="0.2">
      <c r="A574" s="1"/>
    </row>
    <row r="575" spans="1:1" ht="12.75" x14ac:dyDescent="0.2">
      <c r="A575" s="1"/>
    </row>
    <row r="576" spans="1:1" ht="12.75" x14ac:dyDescent="0.2">
      <c r="A576" s="1"/>
    </row>
    <row r="577" spans="1:1" ht="12.75" x14ac:dyDescent="0.2">
      <c r="A577" s="1"/>
    </row>
    <row r="578" spans="1:1" ht="12.75" x14ac:dyDescent="0.2">
      <c r="A578" s="1"/>
    </row>
    <row r="579" spans="1:1" ht="12.75" x14ac:dyDescent="0.2">
      <c r="A579" s="1"/>
    </row>
    <row r="580" spans="1:1" ht="12.75" x14ac:dyDescent="0.2">
      <c r="A580" s="1"/>
    </row>
    <row r="581" spans="1:1" ht="12.75" x14ac:dyDescent="0.2">
      <c r="A581" s="1"/>
    </row>
    <row r="582" spans="1:1" ht="12.75" x14ac:dyDescent="0.2">
      <c r="A582" s="1"/>
    </row>
    <row r="583" spans="1:1" ht="12.75" x14ac:dyDescent="0.2">
      <c r="A583" s="1"/>
    </row>
    <row r="584" spans="1:1" ht="12.75" x14ac:dyDescent="0.2">
      <c r="A584" s="1"/>
    </row>
    <row r="585" spans="1:1" ht="12.75" x14ac:dyDescent="0.2">
      <c r="A585" s="1"/>
    </row>
    <row r="586" spans="1:1" ht="12.75" x14ac:dyDescent="0.2">
      <c r="A586" s="1"/>
    </row>
    <row r="587" spans="1:1" ht="12.75" x14ac:dyDescent="0.2">
      <c r="A587" s="1"/>
    </row>
    <row r="588" spans="1:1" ht="12.75" x14ac:dyDescent="0.2">
      <c r="A588" s="1"/>
    </row>
    <row r="589" spans="1:1" ht="12.75" x14ac:dyDescent="0.2">
      <c r="A589" s="1"/>
    </row>
    <row r="590" spans="1:1" ht="12.75" x14ac:dyDescent="0.2">
      <c r="A590" s="1"/>
    </row>
    <row r="591" spans="1:1" ht="12.75" x14ac:dyDescent="0.2">
      <c r="A591" s="1"/>
    </row>
    <row r="592" spans="1:1" ht="12.75" x14ac:dyDescent="0.2">
      <c r="A592" s="1"/>
    </row>
    <row r="593" spans="1:1" ht="12.75" x14ac:dyDescent="0.2">
      <c r="A593" s="1"/>
    </row>
    <row r="594" spans="1:1" ht="12.75" x14ac:dyDescent="0.2">
      <c r="A594" s="1"/>
    </row>
    <row r="595" spans="1:1" ht="12.75" x14ac:dyDescent="0.2">
      <c r="A595" s="1"/>
    </row>
    <row r="596" spans="1:1" ht="12.75" x14ac:dyDescent="0.2">
      <c r="A596" s="1"/>
    </row>
    <row r="597" spans="1:1" ht="12.75" x14ac:dyDescent="0.2">
      <c r="A597" s="1"/>
    </row>
    <row r="598" spans="1:1" ht="12.75" x14ac:dyDescent="0.2">
      <c r="A598" s="1"/>
    </row>
    <row r="599" spans="1:1" ht="12.75" x14ac:dyDescent="0.2">
      <c r="A599" s="1"/>
    </row>
    <row r="600" spans="1:1" ht="12.75" x14ac:dyDescent="0.2">
      <c r="A600" s="1"/>
    </row>
    <row r="601" spans="1:1" ht="12.75" x14ac:dyDescent="0.2">
      <c r="A601" s="1"/>
    </row>
    <row r="602" spans="1:1" ht="12.75" x14ac:dyDescent="0.2">
      <c r="A602" s="1"/>
    </row>
    <row r="603" spans="1:1" ht="12.75" x14ac:dyDescent="0.2">
      <c r="A603" s="1"/>
    </row>
    <row r="604" spans="1:1" ht="12.75" x14ac:dyDescent="0.2">
      <c r="A604" s="1"/>
    </row>
    <row r="605" spans="1:1" ht="12.75" x14ac:dyDescent="0.2">
      <c r="A605" s="1"/>
    </row>
    <row r="606" spans="1:1" ht="12.75" x14ac:dyDescent="0.2">
      <c r="A606" s="1"/>
    </row>
    <row r="607" spans="1:1" ht="12.75" x14ac:dyDescent="0.2">
      <c r="A607" s="1"/>
    </row>
    <row r="608" spans="1:1" ht="12.75" x14ac:dyDescent="0.2">
      <c r="A608" s="1"/>
    </row>
    <row r="609" spans="1:1" ht="12.75" x14ac:dyDescent="0.2">
      <c r="A609" s="1"/>
    </row>
    <row r="610" spans="1:1" ht="12.75" x14ac:dyDescent="0.2">
      <c r="A610" s="1"/>
    </row>
    <row r="611" spans="1:1" ht="12.75" x14ac:dyDescent="0.2">
      <c r="A611" s="1"/>
    </row>
    <row r="612" spans="1:1" ht="12.75" x14ac:dyDescent="0.2">
      <c r="A612" s="1"/>
    </row>
    <row r="613" spans="1:1" ht="12.75" x14ac:dyDescent="0.2">
      <c r="A613" s="1"/>
    </row>
    <row r="614" spans="1:1" ht="12.75" x14ac:dyDescent="0.2">
      <c r="A614" s="1"/>
    </row>
    <row r="615" spans="1:1" ht="12.75" x14ac:dyDescent="0.2">
      <c r="A615" s="1"/>
    </row>
    <row r="616" spans="1:1" ht="12.75" x14ac:dyDescent="0.2">
      <c r="A616" s="1"/>
    </row>
    <row r="617" spans="1:1" ht="12.75" x14ac:dyDescent="0.2">
      <c r="A617" s="1"/>
    </row>
    <row r="618" spans="1:1" ht="12.75" x14ac:dyDescent="0.2">
      <c r="A618" s="1"/>
    </row>
    <row r="619" spans="1:1" ht="12.75" x14ac:dyDescent="0.2">
      <c r="A619" s="1"/>
    </row>
    <row r="620" spans="1:1" ht="12.75" x14ac:dyDescent="0.2">
      <c r="A620" s="1"/>
    </row>
    <row r="621" spans="1:1" ht="12.75" x14ac:dyDescent="0.2">
      <c r="A621" s="1"/>
    </row>
    <row r="622" spans="1:1" ht="12.75" x14ac:dyDescent="0.2">
      <c r="A622" s="1"/>
    </row>
    <row r="623" spans="1:1" ht="12.75" x14ac:dyDescent="0.2">
      <c r="A623" s="1"/>
    </row>
    <row r="624" spans="1:1" ht="12.75" x14ac:dyDescent="0.2">
      <c r="A624" s="1"/>
    </row>
    <row r="625" spans="1:1" ht="12.75" x14ac:dyDescent="0.2">
      <c r="A625" s="1"/>
    </row>
    <row r="626" spans="1:1" ht="12.75" x14ac:dyDescent="0.2">
      <c r="A626" s="1"/>
    </row>
    <row r="627" spans="1:1" ht="12.75" x14ac:dyDescent="0.2">
      <c r="A627" s="1"/>
    </row>
    <row r="628" spans="1:1" ht="12.75" x14ac:dyDescent="0.2">
      <c r="A628" s="1"/>
    </row>
    <row r="629" spans="1:1" ht="12.75" x14ac:dyDescent="0.2">
      <c r="A629" s="1"/>
    </row>
    <row r="630" spans="1:1" ht="12.75" x14ac:dyDescent="0.2">
      <c r="A630" s="1"/>
    </row>
    <row r="631" spans="1:1" ht="12.75" x14ac:dyDescent="0.2">
      <c r="A631" s="1"/>
    </row>
    <row r="632" spans="1:1" ht="12.75" x14ac:dyDescent="0.2">
      <c r="A632" s="1"/>
    </row>
    <row r="633" spans="1:1" ht="12.75" x14ac:dyDescent="0.2">
      <c r="A633" s="1"/>
    </row>
    <row r="634" spans="1:1" ht="12.75" x14ac:dyDescent="0.2">
      <c r="A634" s="1"/>
    </row>
    <row r="635" spans="1:1" ht="12.75" x14ac:dyDescent="0.2">
      <c r="A635" s="1"/>
    </row>
    <row r="636" spans="1:1" ht="12.75" x14ac:dyDescent="0.2">
      <c r="A636" s="1"/>
    </row>
    <row r="637" spans="1:1" ht="12.75" x14ac:dyDescent="0.2">
      <c r="A637" s="1"/>
    </row>
    <row r="638" spans="1:1" ht="12.75" x14ac:dyDescent="0.2">
      <c r="A638" s="1"/>
    </row>
    <row r="639" spans="1:1" ht="12.75" x14ac:dyDescent="0.2">
      <c r="A639" s="1"/>
    </row>
    <row r="640" spans="1:1" ht="12.75" x14ac:dyDescent="0.2">
      <c r="A640" s="1"/>
    </row>
    <row r="641" spans="1:1" ht="12.75" x14ac:dyDescent="0.2">
      <c r="A641" s="1"/>
    </row>
    <row r="642" spans="1:1" ht="12.75" x14ac:dyDescent="0.2">
      <c r="A642" s="1"/>
    </row>
    <row r="643" spans="1:1" ht="12.75" x14ac:dyDescent="0.2">
      <c r="A643" s="1"/>
    </row>
    <row r="644" spans="1:1" ht="12.75" x14ac:dyDescent="0.2">
      <c r="A644" s="1"/>
    </row>
    <row r="645" spans="1:1" ht="12.75" x14ac:dyDescent="0.2">
      <c r="A645" s="1"/>
    </row>
    <row r="646" spans="1:1" ht="12.75" x14ac:dyDescent="0.2">
      <c r="A646" s="1"/>
    </row>
    <row r="647" spans="1:1" ht="12.75" x14ac:dyDescent="0.2">
      <c r="A647" s="1"/>
    </row>
    <row r="648" spans="1:1" ht="12.75" x14ac:dyDescent="0.2">
      <c r="A648" s="1"/>
    </row>
    <row r="649" spans="1:1" ht="12.75" x14ac:dyDescent="0.2">
      <c r="A649" s="1"/>
    </row>
    <row r="650" spans="1:1" ht="12.75" x14ac:dyDescent="0.2">
      <c r="A650" s="1"/>
    </row>
    <row r="651" spans="1:1" ht="12.75" x14ac:dyDescent="0.2">
      <c r="A651" s="1"/>
    </row>
    <row r="652" spans="1:1" ht="12.75" x14ac:dyDescent="0.2">
      <c r="A652" s="1"/>
    </row>
    <row r="653" spans="1:1" ht="12.75" x14ac:dyDescent="0.2">
      <c r="A653" s="1"/>
    </row>
    <row r="654" spans="1:1" ht="12.75" x14ac:dyDescent="0.2">
      <c r="A654" s="1"/>
    </row>
    <row r="655" spans="1:1" ht="12.75" x14ac:dyDescent="0.2">
      <c r="A655" s="1"/>
    </row>
    <row r="656" spans="1:1" ht="12.75" x14ac:dyDescent="0.2">
      <c r="A656" s="1"/>
    </row>
    <row r="657" spans="1:1" ht="12.75" x14ac:dyDescent="0.2">
      <c r="A657" s="1"/>
    </row>
    <row r="658" spans="1:1" ht="12.75" x14ac:dyDescent="0.2">
      <c r="A658" s="1"/>
    </row>
    <row r="659" spans="1:1" ht="12.75" x14ac:dyDescent="0.2">
      <c r="A659" s="1"/>
    </row>
    <row r="660" spans="1:1" ht="12.75" x14ac:dyDescent="0.2">
      <c r="A660" s="1"/>
    </row>
    <row r="661" spans="1:1" ht="12.75" x14ac:dyDescent="0.2">
      <c r="A661" s="1"/>
    </row>
    <row r="662" spans="1:1" ht="12.75" x14ac:dyDescent="0.2">
      <c r="A662" s="1"/>
    </row>
    <row r="663" spans="1:1" ht="12.75" x14ac:dyDescent="0.2">
      <c r="A663" s="1"/>
    </row>
    <row r="664" spans="1:1" ht="12.75" x14ac:dyDescent="0.2">
      <c r="A664" s="1"/>
    </row>
    <row r="665" spans="1:1" ht="12.75" x14ac:dyDescent="0.2">
      <c r="A665" s="1"/>
    </row>
    <row r="666" spans="1:1" ht="12.75" x14ac:dyDescent="0.2">
      <c r="A666" s="1"/>
    </row>
    <row r="667" spans="1:1" ht="12.75" x14ac:dyDescent="0.2">
      <c r="A667" s="1"/>
    </row>
    <row r="668" spans="1:1" ht="12.75" x14ac:dyDescent="0.2">
      <c r="A668" s="1"/>
    </row>
    <row r="669" spans="1:1" ht="12.75" x14ac:dyDescent="0.2">
      <c r="A669" s="1"/>
    </row>
    <row r="670" spans="1:1" ht="12.75" x14ac:dyDescent="0.2">
      <c r="A670" s="1"/>
    </row>
    <row r="671" spans="1:1" ht="12.75" x14ac:dyDescent="0.2">
      <c r="A671" s="1"/>
    </row>
    <row r="672" spans="1:1" ht="12.75" x14ac:dyDescent="0.2">
      <c r="A672" s="1"/>
    </row>
    <row r="673" spans="1:1" ht="12.75" x14ac:dyDescent="0.2">
      <c r="A673" s="1"/>
    </row>
    <row r="674" spans="1:1" ht="12.75" x14ac:dyDescent="0.2">
      <c r="A674" s="1"/>
    </row>
    <row r="675" spans="1:1" ht="12.75" x14ac:dyDescent="0.2">
      <c r="A675" s="1"/>
    </row>
    <row r="676" spans="1:1" ht="12.75" x14ac:dyDescent="0.2">
      <c r="A676" s="1"/>
    </row>
    <row r="677" spans="1:1" ht="12.75" x14ac:dyDescent="0.2">
      <c r="A677" s="1"/>
    </row>
    <row r="678" spans="1:1" ht="12.75" x14ac:dyDescent="0.2">
      <c r="A678" s="1"/>
    </row>
    <row r="679" spans="1:1" ht="12.75" x14ac:dyDescent="0.2">
      <c r="A679" s="1"/>
    </row>
    <row r="680" spans="1:1" ht="12.75" x14ac:dyDescent="0.2">
      <c r="A680" s="1"/>
    </row>
    <row r="681" spans="1:1" ht="12.75" x14ac:dyDescent="0.2">
      <c r="A681" s="1"/>
    </row>
    <row r="682" spans="1:1" ht="12.75" x14ac:dyDescent="0.2">
      <c r="A682" s="1"/>
    </row>
    <row r="683" spans="1:1" ht="12.75" x14ac:dyDescent="0.2">
      <c r="A683" s="1"/>
    </row>
    <row r="684" spans="1:1" ht="12.75" x14ac:dyDescent="0.2">
      <c r="A684" s="1"/>
    </row>
    <row r="685" spans="1:1" ht="12.75" x14ac:dyDescent="0.2">
      <c r="A685" s="1"/>
    </row>
    <row r="686" spans="1:1" ht="12.75" x14ac:dyDescent="0.2">
      <c r="A686" s="1"/>
    </row>
    <row r="687" spans="1:1" ht="12.75" x14ac:dyDescent="0.2">
      <c r="A687" s="1"/>
    </row>
    <row r="688" spans="1:1" ht="12.75" x14ac:dyDescent="0.2">
      <c r="A688" s="1"/>
    </row>
    <row r="689" spans="1:1" ht="12.75" x14ac:dyDescent="0.2">
      <c r="A689" s="1"/>
    </row>
    <row r="690" spans="1:1" ht="12.75" x14ac:dyDescent="0.2">
      <c r="A690" s="1"/>
    </row>
    <row r="691" spans="1:1" ht="12.75" x14ac:dyDescent="0.2">
      <c r="A691" s="1"/>
    </row>
    <row r="692" spans="1:1" ht="12.75" x14ac:dyDescent="0.2">
      <c r="A692" s="1"/>
    </row>
    <row r="693" spans="1:1" ht="12.75" x14ac:dyDescent="0.2">
      <c r="A693" s="1"/>
    </row>
    <row r="694" spans="1:1" ht="12.75" x14ac:dyDescent="0.2">
      <c r="A694" s="1"/>
    </row>
    <row r="695" spans="1:1" ht="12.75" x14ac:dyDescent="0.2">
      <c r="A695" s="1"/>
    </row>
    <row r="696" spans="1:1" ht="12.75" x14ac:dyDescent="0.2">
      <c r="A696" s="1"/>
    </row>
    <row r="697" spans="1:1" ht="12.75" x14ac:dyDescent="0.2">
      <c r="A697" s="1"/>
    </row>
    <row r="698" spans="1:1" ht="12.75" x14ac:dyDescent="0.2">
      <c r="A698" s="1"/>
    </row>
    <row r="699" spans="1:1" ht="12.75" x14ac:dyDescent="0.2">
      <c r="A699" s="1"/>
    </row>
    <row r="700" spans="1:1" ht="12.75" x14ac:dyDescent="0.2">
      <c r="A700" s="1"/>
    </row>
    <row r="701" spans="1:1" ht="12.75" x14ac:dyDescent="0.2">
      <c r="A701" s="1"/>
    </row>
    <row r="702" spans="1:1" ht="12.75" x14ac:dyDescent="0.2">
      <c r="A702" s="1"/>
    </row>
    <row r="703" spans="1:1" ht="12.75" x14ac:dyDescent="0.2">
      <c r="A703" s="1"/>
    </row>
    <row r="704" spans="1:1" ht="12.75" x14ac:dyDescent="0.2">
      <c r="A704" s="1"/>
    </row>
    <row r="705" spans="1:1" ht="12.75" x14ac:dyDescent="0.2">
      <c r="A705" s="1"/>
    </row>
    <row r="706" spans="1:1" ht="12.75" x14ac:dyDescent="0.2">
      <c r="A706" s="1"/>
    </row>
    <row r="707" spans="1:1" ht="12.75" x14ac:dyDescent="0.2">
      <c r="A707" s="1"/>
    </row>
    <row r="708" spans="1:1" ht="12.75" x14ac:dyDescent="0.2">
      <c r="A708" s="1"/>
    </row>
    <row r="709" spans="1:1" ht="12.75" x14ac:dyDescent="0.2">
      <c r="A709" s="1"/>
    </row>
    <row r="710" spans="1:1" ht="12.75" x14ac:dyDescent="0.2">
      <c r="A710" s="1"/>
    </row>
    <row r="711" spans="1:1" ht="12.75" x14ac:dyDescent="0.2">
      <c r="A711" s="1"/>
    </row>
    <row r="712" spans="1:1" ht="12.75" x14ac:dyDescent="0.2">
      <c r="A712" s="1"/>
    </row>
    <row r="713" spans="1:1" ht="12.75" x14ac:dyDescent="0.2">
      <c r="A713" s="1"/>
    </row>
    <row r="714" spans="1:1" ht="12.75" x14ac:dyDescent="0.2">
      <c r="A714" s="1"/>
    </row>
    <row r="715" spans="1:1" ht="12.75" x14ac:dyDescent="0.2">
      <c r="A715" s="1"/>
    </row>
    <row r="716" spans="1:1" ht="12.75" x14ac:dyDescent="0.2">
      <c r="A716" s="1"/>
    </row>
    <row r="717" spans="1:1" ht="12.75" x14ac:dyDescent="0.2">
      <c r="A717" s="1"/>
    </row>
    <row r="718" spans="1:1" ht="12.75" x14ac:dyDescent="0.2">
      <c r="A718" s="1"/>
    </row>
    <row r="719" spans="1:1" ht="12.75" x14ac:dyDescent="0.2">
      <c r="A719" s="1"/>
    </row>
    <row r="720" spans="1:1" ht="12.75" x14ac:dyDescent="0.2">
      <c r="A720" s="1"/>
    </row>
    <row r="721" spans="1:1" ht="12.75" x14ac:dyDescent="0.2">
      <c r="A721" s="1"/>
    </row>
    <row r="722" spans="1:1" ht="12.75" x14ac:dyDescent="0.2">
      <c r="A722" s="1"/>
    </row>
    <row r="723" spans="1:1" ht="12.75" x14ac:dyDescent="0.2">
      <c r="A723" s="1"/>
    </row>
    <row r="724" spans="1:1" ht="12.75" x14ac:dyDescent="0.2">
      <c r="A724" s="1"/>
    </row>
    <row r="725" spans="1:1" ht="12.75" x14ac:dyDescent="0.2">
      <c r="A725" s="1"/>
    </row>
    <row r="726" spans="1:1" ht="12.75" x14ac:dyDescent="0.2">
      <c r="A726" s="1"/>
    </row>
    <row r="727" spans="1:1" ht="12.75" x14ac:dyDescent="0.2">
      <c r="A727" s="1"/>
    </row>
    <row r="728" spans="1:1" ht="12.75" x14ac:dyDescent="0.2">
      <c r="A728" s="1"/>
    </row>
    <row r="729" spans="1:1" ht="12.75" x14ac:dyDescent="0.2">
      <c r="A729" s="1"/>
    </row>
    <row r="730" spans="1:1" ht="12.75" x14ac:dyDescent="0.2">
      <c r="A730" s="1"/>
    </row>
    <row r="731" spans="1:1" ht="12.75" x14ac:dyDescent="0.2">
      <c r="A731" s="1"/>
    </row>
    <row r="732" spans="1:1" ht="12.75" x14ac:dyDescent="0.2">
      <c r="A732" s="1"/>
    </row>
    <row r="733" spans="1:1" ht="12.75" x14ac:dyDescent="0.2">
      <c r="A733" s="1"/>
    </row>
    <row r="734" spans="1:1" ht="12.75" x14ac:dyDescent="0.2">
      <c r="A734" s="1"/>
    </row>
    <row r="735" spans="1:1" ht="12.75" x14ac:dyDescent="0.2">
      <c r="A735" s="1"/>
    </row>
    <row r="736" spans="1:1" ht="12.75" x14ac:dyDescent="0.2">
      <c r="A736" s="1"/>
    </row>
    <row r="737" spans="1:1" ht="12.75" x14ac:dyDescent="0.2">
      <c r="A737" s="1"/>
    </row>
    <row r="738" spans="1:1" ht="12.75" x14ac:dyDescent="0.2">
      <c r="A738" s="1"/>
    </row>
    <row r="739" spans="1:1" ht="12.75" x14ac:dyDescent="0.2">
      <c r="A739" s="1"/>
    </row>
    <row r="740" spans="1:1" ht="12.75" x14ac:dyDescent="0.2">
      <c r="A740" s="1"/>
    </row>
    <row r="741" spans="1:1" ht="12.75" x14ac:dyDescent="0.2">
      <c r="A741" s="1"/>
    </row>
    <row r="742" spans="1:1" ht="12.75" x14ac:dyDescent="0.2">
      <c r="A742" s="1"/>
    </row>
    <row r="743" spans="1:1" ht="12.75" x14ac:dyDescent="0.2">
      <c r="A743" s="1"/>
    </row>
    <row r="744" spans="1:1" ht="12.75" x14ac:dyDescent="0.2">
      <c r="A744" s="1"/>
    </row>
    <row r="745" spans="1:1" ht="12.75" x14ac:dyDescent="0.2">
      <c r="A745" s="1"/>
    </row>
    <row r="746" spans="1:1" ht="12.75" x14ac:dyDescent="0.2">
      <c r="A746" s="1"/>
    </row>
    <row r="747" spans="1:1" ht="12.75" x14ac:dyDescent="0.2">
      <c r="A747" s="1"/>
    </row>
    <row r="748" spans="1:1" ht="12.75" x14ac:dyDescent="0.2">
      <c r="A748" s="1"/>
    </row>
    <row r="749" spans="1:1" ht="12.75" x14ac:dyDescent="0.2">
      <c r="A749" s="1"/>
    </row>
    <row r="750" spans="1:1" ht="12.75" x14ac:dyDescent="0.2">
      <c r="A750" s="1"/>
    </row>
    <row r="751" spans="1:1" ht="12.75" x14ac:dyDescent="0.2">
      <c r="A751" s="1"/>
    </row>
    <row r="752" spans="1:1" ht="12.75" x14ac:dyDescent="0.2">
      <c r="A752" s="1"/>
    </row>
    <row r="753" spans="1:1" ht="12.75" x14ac:dyDescent="0.2">
      <c r="A753" s="1"/>
    </row>
    <row r="754" spans="1:1" ht="12.75" x14ac:dyDescent="0.2">
      <c r="A754" s="1"/>
    </row>
    <row r="755" spans="1:1" ht="12.75" x14ac:dyDescent="0.2">
      <c r="A755" s="1"/>
    </row>
    <row r="756" spans="1:1" ht="12.75" x14ac:dyDescent="0.2">
      <c r="A756" s="1"/>
    </row>
    <row r="757" spans="1:1" ht="12.75" x14ac:dyDescent="0.2">
      <c r="A757" s="1"/>
    </row>
    <row r="758" spans="1:1" ht="12.75" x14ac:dyDescent="0.2">
      <c r="A758" s="1"/>
    </row>
    <row r="759" spans="1:1" ht="12.75" x14ac:dyDescent="0.2">
      <c r="A759" s="1"/>
    </row>
    <row r="760" spans="1:1" ht="12.75" x14ac:dyDescent="0.2">
      <c r="A760" s="1"/>
    </row>
    <row r="761" spans="1:1" ht="12.75" x14ac:dyDescent="0.2">
      <c r="A761" s="1"/>
    </row>
    <row r="762" spans="1:1" ht="12.75" x14ac:dyDescent="0.2">
      <c r="A762" s="1"/>
    </row>
    <row r="763" spans="1:1" ht="12.75" x14ac:dyDescent="0.2">
      <c r="A763" s="1"/>
    </row>
    <row r="764" spans="1:1" ht="12.75" x14ac:dyDescent="0.2">
      <c r="A764" s="1"/>
    </row>
    <row r="765" spans="1:1" ht="12.75" x14ac:dyDescent="0.2">
      <c r="A765" s="1"/>
    </row>
    <row r="766" spans="1:1" ht="12.75" x14ac:dyDescent="0.2">
      <c r="A766" s="1"/>
    </row>
    <row r="767" spans="1:1" ht="12.75" x14ac:dyDescent="0.2">
      <c r="A767" s="1"/>
    </row>
    <row r="768" spans="1:1" ht="12.75" x14ac:dyDescent="0.2">
      <c r="A768" s="1"/>
    </row>
    <row r="769" spans="1:1" ht="12.75" x14ac:dyDescent="0.2">
      <c r="A769" s="1"/>
    </row>
    <row r="770" spans="1:1" ht="12.75" x14ac:dyDescent="0.2">
      <c r="A770" s="1"/>
    </row>
    <row r="771" spans="1:1" ht="12.75" x14ac:dyDescent="0.2">
      <c r="A771" s="1"/>
    </row>
    <row r="772" spans="1:1" ht="12.75" x14ac:dyDescent="0.2">
      <c r="A772" s="1"/>
    </row>
    <row r="773" spans="1:1" ht="12.75" x14ac:dyDescent="0.2">
      <c r="A773" s="1"/>
    </row>
    <row r="774" spans="1:1" ht="12.75" x14ac:dyDescent="0.2">
      <c r="A774" s="1"/>
    </row>
    <row r="775" spans="1:1" ht="12.75" x14ac:dyDescent="0.2">
      <c r="A775" s="1"/>
    </row>
    <row r="776" spans="1:1" ht="12.75" x14ac:dyDescent="0.2">
      <c r="A776" s="1"/>
    </row>
    <row r="777" spans="1:1" ht="12.75" x14ac:dyDescent="0.2">
      <c r="A777" s="1"/>
    </row>
    <row r="778" spans="1:1" ht="12.75" x14ac:dyDescent="0.2">
      <c r="A778" s="1"/>
    </row>
    <row r="779" spans="1:1" ht="12.75" x14ac:dyDescent="0.2">
      <c r="A779" s="1"/>
    </row>
    <row r="780" spans="1:1" ht="12.75" x14ac:dyDescent="0.2">
      <c r="A780" s="1"/>
    </row>
    <row r="781" spans="1:1" ht="12.75" x14ac:dyDescent="0.2">
      <c r="A781" s="1"/>
    </row>
    <row r="782" spans="1:1" ht="12.75" x14ac:dyDescent="0.2">
      <c r="A782" s="1"/>
    </row>
    <row r="783" spans="1:1" ht="12.75" x14ac:dyDescent="0.2">
      <c r="A783" s="1"/>
    </row>
    <row r="784" spans="1:1" ht="12.75" x14ac:dyDescent="0.2">
      <c r="A784" s="1"/>
    </row>
    <row r="785" spans="1:1" ht="12.75" x14ac:dyDescent="0.2">
      <c r="A785" s="1"/>
    </row>
    <row r="786" spans="1:1" ht="12.75" x14ac:dyDescent="0.2">
      <c r="A786" s="1"/>
    </row>
    <row r="787" spans="1:1" ht="12.75" x14ac:dyDescent="0.2">
      <c r="A787" s="1"/>
    </row>
    <row r="788" spans="1:1" ht="12.75" x14ac:dyDescent="0.2">
      <c r="A788" s="1"/>
    </row>
    <row r="789" spans="1:1" ht="12.75" x14ac:dyDescent="0.2">
      <c r="A789" s="1"/>
    </row>
    <row r="790" spans="1:1" ht="12.75" x14ac:dyDescent="0.2">
      <c r="A790" s="1"/>
    </row>
    <row r="791" spans="1:1" ht="12.75" x14ac:dyDescent="0.2">
      <c r="A791" s="1"/>
    </row>
    <row r="792" spans="1:1" ht="12.75" x14ac:dyDescent="0.2">
      <c r="A792" s="1"/>
    </row>
    <row r="793" spans="1:1" ht="12.75" x14ac:dyDescent="0.2">
      <c r="A793" s="1"/>
    </row>
    <row r="794" spans="1:1" ht="12.75" x14ac:dyDescent="0.2">
      <c r="A794" s="1"/>
    </row>
    <row r="795" spans="1:1" ht="12.75" x14ac:dyDescent="0.2">
      <c r="A795" s="1"/>
    </row>
    <row r="796" spans="1:1" ht="12.75" x14ac:dyDescent="0.2">
      <c r="A796" s="1"/>
    </row>
    <row r="797" spans="1:1" ht="12.75" x14ac:dyDescent="0.2">
      <c r="A797" s="1"/>
    </row>
    <row r="798" spans="1:1" ht="12.75" x14ac:dyDescent="0.2">
      <c r="A798" s="1"/>
    </row>
    <row r="799" spans="1:1" ht="12.75" x14ac:dyDescent="0.2">
      <c r="A799" s="1"/>
    </row>
    <row r="800" spans="1:1" ht="12.75" x14ac:dyDescent="0.2">
      <c r="A800" s="1"/>
    </row>
    <row r="801" spans="1:1" ht="12.75" x14ac:dyDescent="0.2">
      <c r="A801" s="1"/>
    </row>
    <row r="802" spans="1:1" ht="12.75" x14ac:dyDescent="0.2">
      <c r="A802" s="1"/>
    </row>
    <row r="803" spans="1:1" ht="12.75" x14ac:dyDescent="0.2">
      <c r="A803" s="1"/>
    </row>
    <row r="804" spans="1:1" ht="12.75" x14ac:dyDescent="0.2">
      <c r="A804" s="1"/>
    </row>
    <row r="805" spans="1:1" ht="12.75" x14ac:dyDescent="0.2">
      <c r="A805" s="1"/>
    </row>
    <row r="806" spans="1:1" ht="12.75" x14ac:dyDescent="0.2">
      <c r="A806" s="1"/>
    </row>
    <row r="807" spans="1:1" ht="12.75" x14ac:dyDescent="0.2">
      <c r="A807" s="1"/>
    </row>
    <row r="808" spans="1:1" ht="12.75" x14ac:dyDescent="0.2">
      <c r="A808" s="1"/>
    </row>
    <row r="809" spans="1:1" ht="12.75" x14ac:dyDescent="0.2">
      <c r="A809" s="1"/>
    </row>
    <row r="810" spans="1:1" ht="12.75" x14ac:dyDescent="0.2">
      <c r="A810" s="1"/>
    </row>
    <row r="811" spans="1:1" ht="12.75" x14ac:dyDescent="0.2">
      <c r="A811" s="1"/>
    </row>
    <row r="812" spans="1:1" ht="12.75" x14ac:dyDescent="0.2">
      <c r="A812" s="1"/>
    </row>
    <row r="813" spans="1:1" ht="12.75" x14ac:dyDescent="0.2">
      <c r="A813" s="1"/>
    </row>
    <row r="814" spans="1:1" ht="12.75" x14ac:dyDescent="0.2">
      <c r="A814" s="1"/>
    </row>
    <row r="815" spans="1:1" ht="12.75" x14ac:dyDescent="0.2">
      <c r="A815" s="1"/>
    </row>
    <row r="816" spans="1:1" ht="12.75" x14ac:dyDescent="0.2">
      <c r="A816" s="1"/>
    </row>
    <row r="817" spans="1:1" ht="12.75" x14ac:dyDescent="0.2">
      <c r="A817" s="1"/>
    </row>
    <row r="818" spans="1:1" ht="12.75" x14ac:dyDescent="0.2">
      <c r="A818" s="1"/>
    </row>
    <row r="819" spans="1:1" ht="12.75" x14ac:dyDescent="0.2">
      <c r="A819" s="1"/>
    </row>
    <row r="820" spans="1:1" ht="12.75" x14ac:dyDescent="0.2">
      <c r="A820" s="1"/>
    </row>
    <row r="821" spans="1:1" ht="12.75" x14ac:dyDescent="0.2">
      <c r="A821" s="1"/>
    </row>
    <row r="822" spans="1:1" ht="12.75" x14ac:dyDescent="0.2">
      <c r="A822" s="1"/>
    </row>
    <row r="823" spans="1:1" ht="12.75" x14ac:dyDescent="0.2">
      <c r="A823" s="1"/>
    </row>
    <row r="824" spans="1:1" ht="12.75" x14ac:dyDescent="0.2">
      <c r="A824" s="1"/>
    </row>
    <row r="825" spans="1:1" ht="12.75" x14ac:dyDescent="0.2">
      <c r="A825" s="1"/>
    </row>
    <row r="826" spans="1:1" ht="12.75" x14ac:dyDescent="0.2">
      <c r="A826" s="1"/>
    </row>
    <row r="827" spans="1:1" ht="12.75" x14ac:dyDescent="0.2">
      <c r="A827" s="1"/>
    </row>
    <row r="828" spans="1:1" ht="12.75" x14ac:dyDescent="0.2">
      <c r="A828" s="1"/>
    </row>
    <row r="829" spans="1:1" ht="12.75" x14ac:dyDescent="0.2">
      <c r="A829" s="1"/>
    </row>
    <row r="830" spans="1:1" ht="12.75" x14ac:dyDescent="0.2">
      <c r="A830" s="1"/>
    </row>
    <row r="831" spans="1:1" ht="12.75" x14ac:dyDescent="0.2">
      <c r="A831" s="1"/>
    </row>
    <row r="832" spans="1:1" ht="12.75" x14ac:dyDescent="0.2">
      <c r="A832" s="1"/>
    </row>
    <row r="833" spans="1:1" ht="12.75" x14ac:dyDescent="0.2">
      <c r="A833" s="1"/>
    </row>
    <row r="834" spans="1:1" ht="12.75" x14ac:dyDescent="0.2">
      <c r="A834" s="1"/>
    </row>
    <row r="835" spans="1:1" ht="12.75" x14ac:dyDescent="0.2">
      <c r="A835" s="1"/>
    </row>
    <row r="836" spans="1:1" ht="12.75" x14ac:dyDescent="0.2">
      <c r="A836" s="1"/>
    </row>
    <row r="837" spans="1:1" ht="12.75" x14ac:dyDescent="0.2">
      <c r="A837" s="1"/>
    </row>
    <row r="838" spans="1:1" ht="12.75" x14ac:dyDescent="0.2">
      <c r="A838" s="1"/>
    </row>
    <row r="839" spans="1:1" ht="12.75" x14ac:dyDescent="0.2">
      <c r="A839" s="1"/>
    </row>
    <row r="840" spans="1:1" ht="12.75" x14ac:dyDescent="0.2">
      <c r="A840" s="1"/>
    </row>
    <row r="841" spans="1:1" ht="12.75" x14ac:dyDescent="0.2">
      <c r="A841" s="1"/>
    </row>
    <row r="842" spans="1:1" ht="12.75" x14ac:dyDescent="0.2">
      <c r="A842" s="1"/>
    </row>
    <row r="843" spans="1:1" ht="12.75" x14ac:dyDescent="0.2">
      <c r="A843" s="1"/>
    </row>
    <row r="844" spans="1:1" ht="12.75" x14ac:dyDescent="0.2">
      <c r="A844" s="1"/>
    </row>
    <row r="845" spans="1:1" ht="12.75" x14ac:dyDescent="0.2">
      <c r="A845" s="1"/>
    </row>
    <row r="846" spans="1:1" ht="12.75" x14ac:dyDescent="0.2">
      <c r="A846" s="1"/>
    </row>
    <row r="847" spans="1:1" ht="12.75" x14ac:dyDescent="0.2">
      <c r="A847" s="1"/>
    </row>
    <row r="848" spans="1:1" ht="12.75" x14ac:dyDescent="0.2">
      <c r="A848" s="1"/>
    </row>
    <row r="849" spans="1:1" ht="12.75" x14ac:dyDescent="0.2">
      <c r="A849" s="1"/>
    </row>
    <row r="850" spans="1:1" ht="12.75" x14ac:dyDescent="0.2">
      <c r="A850" s="1"/>
    </row>
    <row r="851" spans="1:1" ht="12.75" x14ac:dyDescent="0.2">
      <c r="A851" s="1"/>
    </row>
    <row r="852" spans="1:1" ht="12.75" x14ac:dyDescent="0.2">
      <c r="A852" s="1"/>
    </row>
    <row r="853" spans="1:1" ht="12.75" x14ac:dyDescent="0.2">
      <c r="A853" s="1"/>
    </row>
    <row r="854" spans="1:1" ht="12.75" x14ac:dyDescent="0.2">
      <c r="A854" s="1"/>
    </row>
    <row r="855" spans="1:1" ht="12.75" x14ac:dyDescent="0.2">
      <c r="A855" s="1"/>
    </row>
    <row r="856" spans="1:1" ht="12.75" x14ac:dyDescent="0.2">
      <c r="A856" s="1"/>
    </row>
    <row r="857" spans="1:1" ht="12.75" x14ac:dyDescent="0.2">
      <c r="A857" s="1"/>
    </row>
    <row r="858" spans="1:1" ht="12.75" x14ac:dyDescent="0.2">
      <c r="A858" s="1"/>
    </row>
    <row r="859" spans="1:1" ht="12.75" x14ac:dyDescent="0.2">
      <c r="A859" s="1"/>
    </row>
    <row r="860" spans="1:1" ht="12.75" x14ac:dyDescent="0.2">
      <c r="A860" s="1"/>
    </row>
    <row r="861" spans="1:1" ht="12.75" x14ac:dyDescent="0.2">
      <c r="A861" s="1"/>
    </row>
    <row r="862" spans="1:1" ht="12.75" x14ac:dyDescent="0.2">
      <c r="A862" s="1"/>
    </row>
    <row r="863" spans="1:1" ht="12.75" x14ac:dyDescent="0.2">
      <c r="A863" s="1"/>
    </row>
    <row r="864" spans="1:1" ht="12.75" x14ac:dyDescent="0.2">
      <c r="A864" s="1"/>
    </row>
    <row r="865" spans="1:1" ht="12.75" x14ac:dyDescent="0.2">
      <c r="A865" s="1"/>
    </row>
    <row r="866" spans="1:1" ht="12.75" x14ac:dyDescent="0.2">
      <c r="A866" s="1"/>
    </row>
    <row r="867" spans="1:1" ht="12.75" x14ac:dyDescent="0.2">
      <c r="A867" s="1"/>
    </row>
    <row r="868" spans="1:1" ht="12.75" x14ac:dyDescent="0.2">
      <c r="A868" s="1"/>
    </row>
    <row r="869" spans="1:1" ht="12.75" x14ac:dyDescent="0.2">
      <c r="A869" s="1"/>
    </row>
    <row r="870" spans="1:1" ht="12.75" x14ac:dyDescent="0.2">
      <c r="A870" s="1"/>
    </row>
    <row r="871" spans="1:1" ht="12.75" x14ac:dyDescent="0.2">
      <c r="A871" s="1"/>
    </row>
    <row r="872" spans="1:1" ht="12.75" x14ac:dyDescent="0.2">
      <c r="A872" s="1"/>
    </row>
    <row r="873" spans="1:1" ht="12.75" x14ac:dyDescent="0.2">
      <c r="A873" s="1"/>
    </row>
    <row r="874" spans="1:1" ht="12.75" x14ac:dyDescent="0.2">
      <c r="A874" s="1"/>
    </row>
    <row r="875" spans="1:1" ht="12.75" x14ac:dyDescent="0.2">
      <c r="A875" s="1"/>
    </row>
    <row r="876" spans="1:1" ht="12.75" x14ac:dyDescent="0.2">
      <c r="A876" s="1"/>
    </row>
    <row r="877" spans="1:1" ht="12.75" x14ac:dyDescent="0.2">
      <c r="A877" s="1"/>
    </row>
    <row r="878" spans="1:1" ht="12.75" x14ac:dyDescent="0.2">
      <c r="A878" s="1"/>
    </row>
    <row r="879" spans="1:1" ht="12.75" x14ac:dyDescent="0.2">
      <c r="A879" s="1"/>
    </row>
    <row r="880" spans="1:1" ht="12.75" x14ac:dyDescent="0.2">
      <c r="A880" s="1"/>
    </row>
    <row r="881" spans="1:1" ht="12.75" x14ac:dyDescent="0.2">
      <c r="A881" s="1"/>
    </row>
    <row r="882" spans="1:1" ht="12.75" x14ac:dyDescent="0.2">
      <c r="A882" s="1"/>
    </row>
    <row r="883" spans="1:1" ht="12.75" x14ac:dyDescent="0.2">
      <c r="A883" s="1"/>
    </row>
    <row r="884" spans="1:1" ht="12.75" x14ac:dyDescent="0.2">
      <c r="A884" s="1"/>
    </row>
    <row r="885" spans="1:1" ht="12.75" x14ac:dyDescent="0.2">
      <c r="A885" s="1"/>
    </row>
    <row r="886" spans="1:1" ht="12.75" x14ac:dyDescent="0.2">
      <c r="A886" s="1"/>
    </row>
    <row r="887" spans="1:1" ht="12.75" x14ac:dyDescent="0.2">
      <c r="A887" s="1"/>
    </row>
    <row r="888" spans="1:1" ht="12.75" x14ac:dyDescent="0.2">
      <c r="A888" s="1"/>
    </row>
    <row r="889" spans="1:1" ht="12.75" x14ac:dyDescent="0.2">
      <c r="A889" s="1"/>
    </row>
    <row r="890" spans="1:1" ht="12.75" x14ac:dyDescent="0.2">
      <c r="A890" s="1"/>
    </row>
    <row r="891" spans="1:1" ht="12.75" x14ac:dyDescent="0.2">
      <c r="A891" s="1"/>
    </row>
    <row r="892" spans="1:1" ht="12.75" x14ac:dyDescent="0.2">
      <c r="A892" s="1"/>
    </row>
    <row r="893" spans="1:1" ht="12.75" x14ac:dyDescent="0.2">
      <c r="A893" s="1"/>
    </row>
    <row r="894" spans="1:1" ht="12.75" x14ac:dyDescent="0.2">
      <c r="A894" s="1"/>
    </row>
    <row r="895" spans="1:1" ht="12.75" x14ac:dyDescent="0.2">
      <c r="A895" s="1"/>
    </row>
    <row r="896" spans="1:1" ht="12.75" x14ac:dyDescent="0.2">
      <c r="A896" s="1"/>
    </row>
    <row r="897" spans="1:1" ht="12.75" x14ac:dyDescent="0.2">
      <c r="A897" s="1"/>
    </row>
    <row r="898" spans="1:1" ht="12.75" x14ac:dyDescent="0.2">
      <c r="A898" s="1"/>
    </row>
    <row r="899" spans="1:1" ht="12.75" x14ac:dyDescent="0.2">
      <c r="A899" s="1"/>
    </row>
    <row r="900" spans="1:1" ht="12.75" x14ac:dyDescent="0.2">
      <c r="A900" s="1"/>
    </row>
    <row r="901" spans="1:1" ht="12.75" x14ac:dyDescent="0.2">
      <c r="A901" s="1"/>
    </row>
    <row r="902" spans="1:1" ht="12.75" x14ac:dyDescent="0.2">
      <c r="A902" s="1"/>
    </row>
    <row r="903" spans="1:1" ht="12.75" x14ac:dyDescent="0.2">
      <c r="A903" s="1"/>
    </row>
    <row r="904" spans="1:1" ht="12.75" x14ac:dyDescent="0.2">
      <c r="A904" s="1"/>
    </row>
    <row r="905" spans="1:1" ht="12.75" x14ac:dyDescent="0.2">
      <c r="A905" s="1"/>
    </row>
    <row r="906" spans="1:1" ht="12.75" x14ac:dyDescent="0.2">
      <c r="A906" s="1"/>
    </row>
    <row r="907" spans="1:1" ht="12.75" x14ac:dyDescent="0.2">
      <c r="A907" s="1"/>
    </row>
    <row r="908" spans="1:1" ht="12.75" x14ac:dyDescent="0.2">
      <c r="A908" s="1"/>
    </row>
    <row r="909" spans="1:1" ht="12.75" x14ac:dyDescent="0.2">
      <c r="A909" s="1"/>
    </row>
    <row r="910" spans="1:1" ht="12.75" x14ac:dyDescent="0.2">
      <c r="A910" s="1"/>
    </row>
    <row r="911" spans="1:1" ht="12.75" x14ac:dyDescent="0.2">
      <c r="A911" s="1"/>
    </row>
    <row r="912" spans="1:1" ht="12.75" x14ac:dyDescent="0.2">
      <c r="A912" s="1"/>
    </row>
    <row r="913" spans="1:1" ht="12.75" x14ac:dyDescent="0.2">
      <c r="A913" s="1"/>
    </row>
    <row r="914" spans="1:1" ht="12.75" x14ac:dyDescent="0.2">
      <c r="A914" s="1"/>
    </row>
    <row r="915" spans="1:1" ht="12.75" x14ac:dyDescent="0.2">
      <c r="A915" s="1"/>
    </row>
    <row r="916" spans="1:1" ht="12.75" x14ac:dyDescent="0.2">
      <c r="A916" s="1"/>
    </row>
    <row r="917" spans="1:1" ht="12.75" x14ac:dyDescent="0.2">
      <c r="A917" s="1"/>
    </row>
    <row r="918" spans="1:1" ht="12.75" x14ac:dyDescent="0.2">
      <c r="A918" s="1"/>
    </row>
    <row r="919" spans="1:1" ht="12.75" x14ac:dyDescent="0.2">
      <c r="A919" s="1"/>
    </row>
    <row r="920" spans="1:1" ht="12.75" x14ac:dyDescent="0.2">
      <c r="A920" s="1"/>
    </row>
    <row r="921" spans="1:1" ht="12.75" x14ac:dyDescent="0.2">
      <c r="A921" s="1"/>
    </row>
    <row r="922" spans="1:1" ht="12.75" x14ac:dyDescent="0.2">
      <c r="A922" s="1"/>
    </row>
    <row r="923" spans="1:1" ht="12.75" x14ac:dyDescent="0.2">
      <c r="A923" s="1"/>
    </row>
    <row r="924" spans="1:1" ht="12.75" x14ac:dyDescent="0.2">
      <c r="A924" s="1"/>
    </row>
    <row r="925" spans="1:1" ht="12.75" x14ac:dyDescent="0.2">
      <c r="A925" s="1"/>
    </row>
    <row r="926" spans="1:1" ht="12.75" x14ac:dyDescent="0.2">
      <c r="A926" s="1"/>
    </row>
    <row r="927" spans="1:1" ht="12.75" x14ac:dyDescent="0.2">
      <c r="A927" s="1"/>
    </row>
    <row r="928" spans="1:1" ht="12.75" x14ac:dyDescent="0.2">
      <c r="A928" s="1"/>
    </row>
    <row r="929" spans="1:1" ht="12.75" x14ac:dyDescent="0.2">
      <c r="A929" s="1"/>
    </row>
    <row r="930" spans="1:1" ht="12.75" x14ac:dyDescent="0.2">
      <c r="A930" s="1"/>
    </row>
    <row r="931" spans="1:1" ht="12.75" x14ac:dyDescent="0.2">
      <c r="A931" s="1"/>
    </row>
    <row r="932" spans="1:1" ht="12.75" x14ac:dyDescent="0.2">
      <c r="A932" s="1"/>
    </row>
    <row r="933" spans="1:1" ht="12.75" x14ac:dyDescent="0.2">
      <c r="A933" s="1"/>
    </row>
    <row r="934" spans="1:1" ht="12.75" x14ac:dyDescent="0.2">
      <c r="A934" s="1"/>
    </row>
    <row r="935" spans="1:1" ht="12.75" x14ac:dyDescent="0.2">
      <c r="A935" s="1"/>
    </row>
    <row r="936" spans="1:1" ht="12.75" x14ac:dyDescent="0.2">
      <c r="A936" s="1"/>
    </row>
    <row r="937" spans="1:1" ht="12.75" x14ac:dyDescent="0.2">
      <c r="A937" s="1"/>
    </row>
    <row r="938" spans="1:1" ht="12.75" x14ac:dyDescent="0.2">
      <c r="A938" s="1"/>
    </row>
    <row r="939" spans="1:1" ht="12.75" x14ac:dyDescent="0.2">
      <c r="A939" s="1"/>
    </row>
    <row r="940" spans="1:1" ht="12.75" x14ac:dyDescent="0.2">
      <c r="A940" s="1"/>
    </row>
    <row r="941" spans="1:1" ht="12.75" x14ac:dyDescent="0.2">
      <c r="A941" s="1"/>
    </row>
    <row r="942" spans="1:1" ht="12.75" x14ac:dyDescent="0.2">
      <c r="A942" s="1"/>
    </row>
    <row r="943" spans="1:1" ht="12.75" x14ac:dyDescent="0.2">
      <c r="A943" s="1"/>
    </row>
    <row r="944" spans="1:1" ht="12.75" x14ac:dyDescent="0.2">
      <c r="A944" s="1"/>
    </row>
    <row r="945" spans="1:1" ht="12.75" x14ac:dyDescent="0.2">
      <c r="A945" s="1"/>
    </row>
    <row r="946" spans="1:1" ht="12.75" x14ac:dyDescent="0.2">
      <c r="A946" s="1"/>
    </row>
    <row r="947" spans="1:1" ht="12.75" x14ac:dyDescent="0.2">
      <c r="A947" s="1"/>
    </row>
    <row r="948" spans="1:1" ht="12.75" x14ac:dyDescent="0.2">
      <c r="A948" s="1"/>
    </row>
    <row r="949" spans="1:1" ht="12.75" x14ac:dyDescent="0.2">
      <c r="A949" s="1"/>
    </row>
    <row r="950" spans="1:1" ht="12.75" x14ac:dyDescent="0.2">
      <c r="A950" s="1"/>
    </row>
    <row r="951" spans="1:1" ht="12.75" x14ac:dyDescent="0.2">
      <c r="A951" s="1"/>
    </row>
    <row r="952" spans="1:1" ht="12.75" x14ac:dyDescent="0.2">
      <c r="A952" s="1"/>
    </row>
    <row r="953" spans="1:1" ht="12.75" x14ac:dyDescent="0.2">
      <c r="A953" s="1"/>
    </row>
    <row r="954" spans="1:1" ht="12.75" x14ac:dyDescent="0.2">
      <c r="A954" s="1"/>
    </row>
    <row r="955" spans="1:1" ht="12.75" x14ac:dyDescent="0.2">
      <c r="A955" s="1"/>
    </row>
    <row r="956" spans="1:1" ht="12.75" x14ac:dyDescent="0.2">
      <c r="A956" s="1"/>
    </row>
    <row r="957" spans="1:1" ht="12.75" x14ac:dyDescent="0.2">
      <c r="A957" s="1"/>
    </row>
    <row r="958" spans="1:1" ht="12.75" x14ac:dyDescent="0.2">
      <c r="A958" s="1"/>
    </row>
    <row r="959" spans="1:1" ht="12.75" x14ac:dyDescent="0.2">
      <c r="A959" s="1"/>
    </row>
    <row r="960" spans="1:1" ht="12.75" x14ac:dyDescent="0.2">
      <c r="A960" s="1"/>
    </row>
    <row r="961" spans="1:1" ht="12.75" x14ac:dyDescent="0.2">
      <c r="A961" s="1"/>
    </row>
    <row r="962" spans="1:1" ht="12.75" x14ac:dyDescent="0.2">
      <c r="A962" s="1"/>
    </row>
    <row r="963" spans="1:1" ht="12.75" x14ac:dyDescent="0.2">
      <c r="A963" s="1"/>
    </row>
    <row r="964" spans="1:1" ht="12.75" x14ac:dyDescent="0.2">
      <c r="A964" s="1"/>
    </row>
    <row r="965" spans="1:1" ht="12.75" x14ac:dyDescent="0.2">
      <c r="A965" s="1"/>
    </row>
    <row r="966" spans="1:1" ht="12.75" x14ac:dyDescent="0.2">
      <c r="A966" s="1"/>
    </row>
    <row r="967" spans="1:1" ht="12.75" x14ac:dyDescent="0.2">
      <c r="A967" s="1"/>
    </row>
    <row r="968" spans="1:1" ht="12.75" x14ac:dyDescent="0.2">
      <c r="A968" s="1"/>
    </row>
    <row r="969" spans="1:1" ht="12.75" x14ac:dyDescent="0.2">
      <c r="A969" s="1"/>
    </row>
    <row r="970" spans="1:1" ht="12.75" x14ac:dyDescent="0.2">
      <c r="A970" s="1"/>
    </row>
    <row r="971" spans="1:1" ht="12.75" x14ac:dyDescent="0.2">
      <c r="A971" s="1"/>
    </row>
    <row r="972" spans="1:1" ht="12.75" x14ac:dyDescent="0.2">
      <c r="A972" s="1"/>
    </row>
    <row r="973" spans="1:1" ht="12.75" x14ac:dyDescent="0.2">
      <c r="A973" s="1"/>
    </row>
    <row r="974" spans="1:1" ht="12.75" x14ac:dyDescent="0.2">
      <c r="A974" s="1"/>
    </row>
    <row r="975" spans="1:1" ht="12.75" x14ac:dyDescent="0.2">
      <c r="A975" s="1"/>
    </row>
    <row r="976" spans="1:1" ht="12.75" x14ac:dyDescent="0.2">
      <c r="A976" s="1"/>
    </row>
    <row r="977" spans="1:1" ht="12.75" x14ac:dyDescent="0.2">
      <c r="A977" s="1"/>
    </row>
    <row r="978" spans="1:1" ht="12.75" x14ac:dyDescent="0.2">
      <c r="A978" s="1"/>
    </row>
    <row r="979" spans="1:1" ht="12.75" x14ac:dyDescent="0.2">
      <c r="A979" s="1"/>
    </row>
    <row r="980" spans="1:1" ht="12.75" x14ac:dyDescent="0.2">
      <c r="A980" s="1"/>
    </row>
    <row r="981" spans="1:1" ht="12.75" x14ac:dyDescent="0.2">
      <c r="A981" s="1"/>
    </row>
    <row r="982" spans="1:1" ht="12.75" x14ac:dyDescent="0.2">
      <c r="A982" s="1"/>
    </row>
    <row r="983" spans="1:1" ht="12.75" x14ac:dyDescent="0.2">
      <c r="A983" s="1"/>
    </row>
    <row r="984" spans="1:1" ht="12.75" x14ac:dyDescent="0.2">
      <c r="A984" s="1"/>
    </row>
    <row r="985" spans="1:1" ht="12.75" x14ac:dyDescent="0.2">
      <c r="A985" s="1"/>
    </row>
    <row r="986" spans="1:1" ht="12.75" x14ac:dyDescent="0.2">
      <c r="A986" s="1"/>
    </row>
    <row r="987" spans="1:1" ht="12.75" x14ac:dyDescent="0.2"/>
  </sheetData>
  <mergeCells count="1">
    <mergeCell ref="C20:E20"/>
  </mergeCells>
  <conditionalFormatting sqref="E2:E1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{CB6B39E3-E7A6-40AA-B866-BFEC5C8B977A}</x14:id>
        </ext>
      </extLst>
    </cfRule>
  </conditionalFormatting>
  <conditionalFormatting sqref="G2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G3:G17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2:J17">
    <cfRule type="cellIs" dxfId="21" priority="9" operator="lessThan">
      <formula>0</formula>
    </cfRule>
    <cfRule type="cellIs" dxfId="20" priority="10" operator="greaterThan">
      <formula>0</formula>
    </cfRule>
  </conditionalFormatting>
  <conditionalFormatting sqref="J20">
    <cfRule type="cellIs" dxfId="19" priority="8" operator="lessThan">
      <formula>0</formula>
    </cfRule>
  </conditionalFormatting>
  <conditionalFormatting sqref="K2:K17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6B39E3-E7A6-40AA-B866-BFEC5C8B9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CFFF-4627-437F-AFEF-257147273F0E}">
  <dimension ref="A1:F21"/>
  <sheetViews>
    <sheetView zoomScale="137" workbookViewId="0">
      <selection activeCell="I12" sqref="I12"/>
    </sheetView>
  </sheetViews>
  <sheetFormatPr defaultRowHeight="12.75" x14ac:dyDescent="0.2"/>
  <cols>
    <col min="1" max="1" width="27.7109375" bestFit="1" customWidth="1"/>
    <col min="2" max="2" width="13.7109375" bestFit="1" customWidth="1"/>
    <col min="3" max="4" width="13.5703125" bestFit="1" customWidth="1"/>
    <col min="5" max="5" width="17.85546875" bestFit="1" customWidth="1"/>
    <col min="6" max="6" width="13.5703125" bestFit="1" customWidth="1"/>
  </cols>
  <sheetData>
    <row r="1" spans="1:6" ht="20.25" x14ac:dyDescent="0.3">
      <c r="A1" s="149" t="s">
        <v>12</v>
      </c>
      <c r="B1" s="149"/>
      <c r="C1" s="149"/>
      <c r="D1" s="149"/>
      <c r="E1" s="149"/>
      <c r="F1" s="149"/>
    </row>
    <row r="2" spans="1:6" x14ac:dyDescent="0.2">
      <c r="A2" t="s">
        <v>13</v>
      </c>
      <c r="B2" s="18">
        <f>PL!J7+125000</f>
        <v>309549.78999999975</v>
      </c>
      <c r="C2" s="30"/>
      <c r="D2" s="18"/>
    </row>
    <row r="3" spans="1:6" x14ac:dyDescent="0.2">
      <c r="A3" t="s">
        <v>14</v>
      </c>
      <c r="B3" s="18">
        <v>125000</v>
      </c>
      <c r="D3" s="18"/>
      <c r="F3" s="18"/>
    </row>
    <row r="4" spans="1:6" x14ac:dyDescent="0.2">
      <c r="A4" t="s">
        <v>15</v>
      </c>
      <c r="B4" s="18">
        <v>4259.7799999999797</v>
      </c>
      <c r="F4" s="18"/>
    </row>
    <row r="5" spans="1:6" x14ac:dyDescent="0.2">
      <c r="A5" t="s">
        <v>16</v>
      </c>
      <c r="B5" s="18">
        <f>B2-B3-B4</f>
        <v>180290.00999999978</v>
      </c>
      <c r="F5" s="18"/>
    </row>
    <row r="6" spans="1:6" x14ac:dyDescent="0.2">
      <c r="B6" s="30"/>
      <c r="F6" s="18"/>
    </row>
    <row r="7" spans="1:6" x14ac:dyDescent="0.2">
      <c r="A7" t="s">
        <v>17</v>
      </c>
      <c r="B7" s="30">
        <f>B5/5</f>
        <v>36058.001999999957</v>
      </c>
      <c r="F7" s="18"/>
    </row>
    <row r="8" spans="1:6" ht="13.5" thickBot="1" x14ac:dyDescent="0.25">
      <c r="A8" t="s">
        <v>18</v>
      </c>
      <c r="B8" s="142">
        <f>B7+25000</f>
        <v>61058.001999999957</v>
      </c>
      <c r="F8" s="18"/>
    </row>
    <row r="9" spans="1:6" ht="13.5" thickTop="1" x14ac:dyDescent="0.2">
      <c r="B9" s="30"/>
      <c r="F9" s="18"/>
    </row>
    <row r="10" spans="1:6" x14ac:dyDescent="0.2">
      <c r="B10" s="30"/>
      <c r="F10" s="18"/>
    </row>
    <row r="13" spans="1:6" x14ac:dyDescent="0.2">
      <c r="A13" s="141">
        <v>46054</v>
      </c>
      <c r="B13" s="128" t="s">
        <v>19</v>
      </c>
      <c r="C13" s="128" t="s">
        <v>20</v>
      </c>
      <c r="D13" s="128" t="s">
        <v>9</v>
      </c>
      <c r="E13" s="128" t="s">
        <v>21</v>
      </c>
      <c r="F13" s="128" t="s">
        <v>10</v>
      </c>
    </row>
    <row r="14" spans="1:6" x14ac:dyDescent="0.2">
      <c r="A14" t="s">
        <v>22</v>
      </c>
      <c r="B14" s="18">
        <v>25000</v>
      </c>
      <c r="C14" s="18">
        <f>Expenses!P2</f>
        <v>30881.999999999985</v>
      </c>
      <c r="D14" s="18">
        <f>$B$7</f>
        <v>36058.001999999957</v>
      </c>
      <c r="E14" s="18">
        <f>D14-C14</f>
        <v>5176.0019999999713</v>
      </c>
      <c r="F14" s="18">
        <f t="shared" ref="F14:F19" si="0">D14+B14</f>
        <v>61058.001999999957</v>
      </c>
    </row>
    <row r="15" spans="1:6" x14ac:dyDescent="0.2">
      <c r="A15" t="s">
        <v>23</v>
      </c>
      <c r="B15" s="18">
        <v>25000</v>
      </c>
      <c r="C15" s="18">
        <f>Expenses!P3</f>
        <v>44061.18</v>
      </c>
      <c r="D15" s="18">
        <f t="shared" ref="D15:D17" si="1">$B$7</f>
        <v>36058.001999999957</v>
      </c>
      <c r="E15" s="18">
        <f t="shared" ref="E15:E19" si="2">D15-C15</f>
        <v>-8003.1780000000435</v>
      </c>
      <c r="F15" s="18">
        <f t="shared" si="0"/>
        <v>61058.001999999957</v>
      </c>
    </row>
    <row r="16" spans="1:6" x14ac:dyDescent="0.2">
      <c r="A16" t="s">
        <v>24</v>
      </c>
      <c r="B16" s="18">
        <v>25000</v>
      </c>
      <c r="C16" s="18">
        <f>Expenses!P4</f>
        <v>48151.979999999996</v>
      </c>
      <c r="D16" s="18">
        <f t="shared" si="1"/>
        <v>36058.001999999957</v>
      </c>
      <c r="E16" s="115">
        <f t="shared" si="2"/>
        <v>-12093.978000000039</v>
      </c>
      <c r="F16" s="18">
        <f t="shared" si="0"/>
        <v>61058.001999999957</v>
      </c>
    </row>
    <row r="17" spans="1:6" x14ac:dyDescent="0.2">
      <c r="A17" t="s">
        <v>25</v>
      </c>
      <c r="B17" s="18">
        <v>25000</v>
      </c>
      <c r="C17" s="18">
        <f>Expenses!P5</f>
        <v>31058</v>
      </c>
      <c r="D17" s="18">
        <f t="shared" si="1"/>
        <v>36058.001999999957</v>
      </c>
      <c r="E17" s="18">
        <f t="shared" si="2"/>
        <v>5000.0019999999568</v>
      </c>
      <c r="F17" s="18">
        <f t="shared" si="0"/>
        <v>61058.001999999957</v>
      </c>
    </row>
    <row r="18" spans="1:6" x14ac:dyDescent="0.2">
      <c r="A18" t="s">
        <v>26</v>
      </c>
      <c r="B18" s="18">
        <v>12500</v>
      </c>
      <c r="C18" s="18"/>
      <c r="D18" s="18">
        <f>D17/2</f>
        <v>18029.000999999978</v>
      </c>
      <c r="E18" s="18">
        <f t="shared" si="2"/>
        <v>18029.000999999978</v>
      </c>
      <c r="F18" s="18">
        <f t="shared" si="0"/>
        <v>30529.000999999978</v>
      </c>
    </row>
    <row r="19" spans="1:6" x14ac:dyDescent="0.2">
      <c r="A19" t="s">
        <v>27</v>
      </c>
      <c r="B19" s="18">
        <v>12500</v>
      </c>
      <c r="C19" s="18"/>
      <c r="D19" s="18">
        <f>D18</f>
        <v>18029.000999999978</v>
      </c>
      <c r="E19" s="18">
        <f t="shared" si="2"/>
        <v>18029.000999999978</v>
      </c>
      <c r="F19" s="18">
        <f t="shared" si="0"/>
        <v>30529.000999999978</v>
      </c>
    </row>
    <row r="20" spans="1:6" x14ac:dyDescent="0.2">
      <c r="B20" s="18"/>
      <c r="C20" s="18"/>
      <c r="D20" s="18"/>
      <c r="E20" s="18"/>
      <c r="F20" s="18"/>
    </row>
    <row r="21" spans="1:6" x14ac:dyDescent="0.2">
      <c r="A21" t="s">
        <v>10</v>
      </c>
      <c r="B21" s="18">
        <f>SUM(B14:B19)</f>
        <v>125000</v>
      </c>
      <c r="C21" s="18">
        <f t="shared" ref="C21:D21" si="3">SUM(C14:C19)</f>
        <v>154153.15999999997</v>
      </c>
      <c r="D21" s="18">
        <f t="shared" si="3"/>
        <v>180290.00999999981</v>
      </c>
      <c r="E21" s="18">
        <f>SUM(E14:E19)</f>
        <v>26136.849999999802</v>
      </c>
      <c r="F21" s="18">
        <f>SUM(F14:F19)</f>
        <v>305290.00999999978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4389-CDA9-4F0A-9245-8784F8369D25}">
  <dimension ref="A1:H66"/>
  <sheetViews>
    <sheetView zoomScale="175" zoomScaleNormal="175" workbookViewId="0">
      <pane ySplit="1" topLeftCell="A21" activePane="bottomLeft" state="frozen"/>
      <selection pane="bottomLeft" activeCell="E39" sqref="E39"/>
    </sheetView>
  </sheetViews>
  <sheetFormatPr defaultRowHeight="12.75" x14ac:dyDescent="0.2"/>
  <cols>
    <col min="1" max="1" width="5.140625" style="15" bestFit="1" customWidth="1"/>
    <col min="2" max="2" width="14.28515625" style="15" bestFit="1" customWidth="1"/>
    <col min="3" max="3" width="10.85546875" bestFit="1" customWidth="1"/>
    <col min="4" max="4" width="10.7109375" style="15" bestFit="1" customWidth="1"/>
    <col min="5" max="7" width="13.5703125" style="18" bestFit="1" customWidth="1"/>
    <col min="8" max="8" width="21" bestFit="1" customWidth="1"/>
  </cols>
  <sheetData>
    <row r="1" spans="1:8" x14ac:dyDescent="0.2">
      <c r="A1" s="138" t="s">
        <v>0</v>
      </c>
      <c r="B1" s="138" t="s">
        <v>28</v>
      </c>
      <c r="C1" s="138" t="s">
        <v>29</v>
      </c>
      <c r="D1" s="138" t="s">
        <v>1</v>
      </c>
      <c r="E1" s="139" t="s">
        <v>30</v>
      </c>
      <c r="F1" s="139" t="s">
        <v>31</v>
      </c>
      <c r="G1" s="139" t="s">
        <v>32</v>
      </c>
      <c r="H1" s="140" t="s">
        <v>33</v>
      </c>
    </row>
    <row r="2" spans="1:8" x14ac:dyDescent="0.2">
      <c r="A2" s="15">
        <v>1</v>
      </c>
      <c r="B2" s="15">
        <f>WEEKNUM(D2)</f>
        <v>5</v>
      </c>
      <c r="C2" t="str">
        <f>TEXT(D2,"dddd")</f>
        <v>Tuesday</v>
      </c>
      <c r="D2" s="32">
        <v>46049</v>
      </c>
      <c r="E2" s="18">
        <f>SUMIFS(Income!K:K,Income!C:C,'Daily Tracker'!D2)</f>
        <v>50000</v>
      </c>
      <c r="F2" s="18">
        <f>SUMIFS(Expenses!G:G,Expenses!B:B,'Daily Tracker'!D2)</f>
        <v>47191.470000000103</v>
      </c>
      <c r="G2" s="18">
        <f>SUMIFS('Order Book'!K:K,'Order Book'!C:C,'Daily Tracker'!D2)</f>
        <v>0</v>
      </c>
    </row>
    <row r="3" spans="1:8" x14ac:dyDescent="0.2">
      <c r="A3" s="15">
        <v>2</v>
      </c>
      <c r="B3" s="15">
        <f t="shared" ref="B3:B66" si="0">WEEKNUM(D3)</f>
        <v>5</v>
      </c>
      <c r="C3" t="str">
        <f t="shared" ref="C3:C66" si="1">TEXT(D3,"dddd")</f>
        <v>Wednesday</v>
      </c>
      <c r="D3" s="32">
        <v>46050</v>
      </c>
      <c r="E3" s="18">
        <f>SUMIFS(Income!K:K,Income!C:C,'Daily Tracker'!D3)</f>
        <v>0</v>
      </c>
      <c r="F3" s="18">
        <f>SUMIFS(Expenses!G:G,Expenses!B:B,'Daily Tracker'!D3)</f>
        <v>0</v>
      </c>
      <c r="G3" s="18">
        <f>SUMIFS('Order Book'!K:K,'Order Book'!C:C,'Daily Tracker'!D3)</f>
        <v>0</v>
      </c>
    </row>
    <row r="4" spans="1:8" x14ac:dyDescent="0.2">
      <c r="A4" s="15">
        <v>3</v>
      </c>
      <c r="B4" s="15">
        <f t="shared" si="0"/>
        <v>5</v>
      </c>
      <c r="C4" t="str">
        <f t="shared" si="1"/>
        <v>Thursday</v>
      </c>
      <c r="D4" s="32">
        <v>46051</v>
      </c>
      <c r="E4" s="18">
        <f>SUMIFS(Income!K:K,Income!C:C,'Daily Tracker'!D4)</f>
        <v>0</v>
      </c>
      <c r="F4" s="18">
        <f>SUMIFS(Expenses!G:G,Expenses!B:B,'Daily Tracker'!D4)</f>
        <v>6235</v>
      </c>
      <c r="G4" s="18">
        <f>SUMIFS('Order Book'!K:K,'Order Book'!C:C,'Daily Tracker'!D4)</f>
        <v>0</v>
      </c>
    </row>
    <row r="5" spans="1:8" x14ac:dyDescent="0.2">
      <c r="A5" s="15">
        <v>4</v>
      </c>
      <c r="B5" s="15">
        <f t="shared" si="0"/>
        <v>5</v>
      </c>
      <c r="C5" t="str">
        <f t="shared" si="1"/>
        <v>Friday</v>
      </c>
      <c r="D5" s="32">
        <v>46052</v>
      </c>
      <c r="E5" s="18">
        <f>SUMIFS(Income!K:K,Income!C:C,'Daily Tracker'!D5)</f>
        <v>0</v>
      </c>
      <c r="F5" s="18">
        <f>SUMIFS(Expenses!G:G,Expenses!B:B,'Daily Tracker'!D5)</f>
        <v>36727</v>
      </c>
      <c r="G5" s="18">
        <f>SUMIFS('Order Book'!K:K,'Order Book'!C:C,'Daily Tracker'!D5)</f>
        <v>0</v>
      </c>
    </row>
    <row r="6" spans="1:8" x14ac:dyDescent="0.2">
      <c r="A6" s="15">
        <v>5</v>
      </c>
      <c r="B6" s="15">
        <f t="shared" si="0"/>
        <v>5</v>
      </c>
      <c r="C6" t="str">
        <f t="shared" si="1"/>
        <v>Saturday</v>
      </c>
      <c r="D6" s="32">
        <v>46053</v>
      </c>
      <c r="E6" s="18">
        <f>SUMIFS(Income!K:K,Income!C:C,'Daily Tracker'!D6)</f>
        <v>0</v>
      </c>
      <c r="F6" s="18">
        <f>SUMIFS(Expenses!G:G,Expenses!B:B,'Daily Tracker'!D6)</f>
        <v>1256.58</v>
      </c>
      <c r="G6" s="18">
        <f>SUMIFS('Order Book'!K:K,'Order Book'!C:C,'Daily Tracker'!D6)</f>
        <v>0</v>
      </c>
    </row>
    <row r="7" spans="1:8" x14ac:dyDescent="0.2">
      <c r="A7" s="15">
        <v>6</v>
      </c>
      <c r="B7" s="15">
        <f t="shared" si="0"/>
        <v>6</v>
      </c>
      <c r="C7" t="str">
        <f t="shared" si="1"/>
        <v>Sunday</v>
      </c>
      <c r="D7" s="32">
        <v>46054</v>
      </c>
      <c r="E7" s="18">
        <f>SUMIFS(Income!K:K,Income!C:C,'Daily Tracker'!D7)</f>
        <v>0</v>
      </c>
      <c r="F7" s="18">
        <f>SUMIFS(Expenses!G:G,Expenses!B:B,'Daily Tracker'!D7)</f>
        <v>0</v>
      </c>
      <c r="G7" s="18">
        <f>SUMIFS('Order Book'!K:K,'Order Book'!C:C,'Daily Tracker'!D7)</f>
        <v>0</v>
      </c>
    </row>
    <row r="8" spans="1:8" x14ac:dyDescent="0.2">
      <c r="A8" s="15">
        <v>7</v>
      </c>
      <c r="B8" s="15">
        <f t="shared" si="0"/>
        <v>6</v>
      </c>
      <c r="C8" t="str">
        <f t="shared" si="1"/>
        <v>Monday</v>
      </c>
      <c r="D8" s="32">
        <v>46055</v>
      </c>
      <c r="E8" s="18">
        <f>SUMIFS(Income!K:K,Income!C:C,'Daily Tracker'!D8)</f>
        <v>75000</v>
      </c>
      <c r="F8" s="18">
        <f>SUMIFS(Expenses!G:G,Expenses!B:B,'Daily Tracker'!D8)</f>
        <v>14029.599999999999</v>
      </c>
      <c r="G8" s="18">
        <f>SUMIFS('Order Book'!K:K,'Order Book'!C:C,'Daily Tracker'!D8)</f>
        <v>400000</v>
      </c>
    </row>
    <row r="9" spans="1:8" x14ac:dyDescent="0.2">
      <c r="A9" s="15">
        <v>8</v>
      </c>
      <c r="B9" s="15">
        <f t="shared" si="0"/>
        <v>6</v>
      </c>
      <c r="C9" t="str">
        <f t="shared" si="1"/>
        <v>Tuesday</v>
      </c>
      <c r="D9" s="32">
        <v>46056</v>
      </c>
      <c r="E9" s="18">
        <f>SUMIFS(Income!K:K,Income!C:C,'Daily Tracker'!D9)</f>
        <v>0</v>
      </c>
      <c r="F9" s="18">
        <f>SUMIFS(Expenses!G:G,Expenses!B:B,'Daily Tracker'!D9)</f>
        <v>349</v>
      </c>
      <c r="G9" s="18">
        <f>SUMIFS('Order Book'!K:K,'Order Book'!C:C,'Daily Tracker'!D9)</f>
        <v>0</v>
      </c>
    </row>
    <row r="10" spans="1:8" x14ac:dyDescent="0.2">
      <c r="A10" s="15">
        <v>9</v>
      </c>
      <c r="B10" s="15">
        <f t="shared" si="0"/>
        <v>6</v>
      </c>
      <c r="C10" t="str">
        <f t="shared" si="1"/>
        <v>Wednesday</v>
      </c>
      <c r="D10" s="32">
        <v>46057</v>
      </c>
      <c r="E10" s="18">
        <f>SUMIFS(Income!K:K,Income!C:C,'Daily Tracker'!D10)</f>
        <v>0</v>
      </c>
      <c r="F10" s="18">
        <f>SUMIFS(Expenses!G:G,Expenses!B:B,'Daily Tracker'!D10)</f>
        <v>590</v>
      </c>
      <c r="G10" s="18">
        <f>SUMIFS('Order Book'!K:K,'Order Book'!C:C,'Daily Tracker'!D10)</f>
        <v>25000</v>
      </c>
    </row>
    <row r="11" spans="1:8" x14ac:dyDescent="0.2">
      <c r="A11" s="15">
        <v>10</v>
      </c>
      <c r="B11" s="15">
        <f t="shared" si="0"/>
        <v>6</v>
      </c>
      <c r="C11" t="str">
        <f t="shared" si="1"/>
        <v>Thursday</v>
      </c>
      <c r="D11" s="32">
        <v>46058</v>
      </c>
      <c r="E11" s="18">
        <f>SUMIFS(Income!K:K,Income!C:C,'Daily Tracker'!D11)</f>
        <v>0</v>
      </c>
      <c r="F11" s="18">
        <f>SUMIFS(Expenses!G:G,Expenses!B:B,'Daily Tracker'!D11)</f>
        <v>25300</v>
      </c>
      <c r="G11" s="18">
        <f>SUMIFS('Order Book'!K:K,'Order Book'!C:C,'Daily Tracker'!D11)</f>
        <v>50000</v>
      </c>
    </row>
    <row r="12" spans="1:8" x14ac:dyDescent="0.2">
      <c r="A12" s="15">
        <v>11</v>
      </c>
      <c r="B12" s="15">
        <f t="shared" si="0"/>
        <v>6</v>
      </c>
      <c r="C12" t="str">
        <f t="shared" si="1"/>
        <v>Friday</v>
      </c>
      <c r="D12" s="32">
        <v>46059</v>
      </c>
      <c r="E12" s="18">
        <f>SUMIFS(Income!K:K,Income!C:C,'Daily Tracker'!D12)</f>
        <v>25000</v>
      </c>
      <c r="F12" s="18">
        <f>SUMIFS(Expenses!G:G,Expenses!B:B,'Daily Tracker'!D12)</f>
        <v>350</v>
      </c>
      <c r="G12" s="18">
        <f>SUMIFS('Order Book'!K:K,'Order Book'!C:C,'Daily Tracker'!D12)</f>
        <v>0</v>
      </c>
    </row>
    <row r="13" spans="1:8" x14ac:dyDescent="0.2">
      <c r="A13" s="15">
        <v>12</v>
      </c>
      <c r="B13" s="15">
        <f t="shared" si="0"/>
        <v>6</v>
      </c>
      <c r="C13" t="str">
        <f t="shared" si="1"/>
        <v>Saturday</v>
      </c>
      <c r="D13" s="32">
        <v>46060</v>
      </c>
      <c r="E13" s="18">
        <f>SUMIFS(Income!K:K,Income!C:C,'Daily Tracker'!D13)</f>
        <v>30000</v>
      </c>
      <c r="F13" s="18">
        <f>SUMIFS(Expenses!G:G,Expenses!B:B,'Daily Tracker'!D13)</f>
        <v>4517.7</v>
      </c>
      <c r="G13" s="18">
        <f>SUMIFS('Order Book'!K:K,'Order Book'!C:C,'Daily Tracker'!D13)</f>
        <v>0</v>
      </c>
    </row>
    <row r="14" spans="1:8" x14ac:dyDescent="0.2">
      <c r="A14" s="15">
        <v>13</v>
      </c>
      <c r="B14" s="15">
        <f t="shared" si="0"/>
        <v>7</v>
      </c>
      <c r="C14" t="str">
        <f t="shared" si="1"/>
        <v>Sunday</v>
      </c>
      <c r="D14" s="32">
        <v>46061</v>
      </c>
      <c r="E14" s="18">
        <f>SUMIFS(Income!K:K,Income!C:C,'Daily Tracker'!D14)</f>
        <v>0</v>
      </c>
      <c r="F14" s="18">
        <f>SUMIFS(Expenses!G:G,Expenses!B:B,'Daily Tracker'!D14)</f>
        <v>0</v>
      </c>
      <c r="G14" s="18">
        <f>SUMIFS('Order Book'!K:K,'Order Book'!C:C,'Daily Tracker'!D14)</f>
        <v>0</v>
      </c>
    </row>
    <row r="15" spans="1:8" x14ac:dyDescent="0.2">
      <c r="A15" s="15">
        <v>14</v>
      </c>
      <c r="B15" s="15">
        <f t="shared" si="0"/>
        <v>7</v>
      </c>
      <c r="C15" t="str">
        <f t="shared" si="1"/>
        <v>Monday</v>
      </c>
      <c r="D15" s="32">
        <v>46062</v>
      </c>
      <c r="E15" s="18">
        <f>SUMIFS(Income!K:K,Income!C:C,'Daily Tracker'!D15)</f>
        <v>0</v>
      </c>
      <c r="F15" s="18">
        <f>SUMIFS(Expenses!G:G,Expenses!B:B,'Daily Tracker'!D15)</f>
        <v>30500</v>
      </c>
      <c r="G15" s="18">
        <f>SUMIFS('Order Book'!K:K,'Order Book'!C:C,'Daily Tracker'!D15)</f>
        <v>0</v>
      </c>
    </row>
    <row r="16" spans="1:8" x14ac:dyDescent="0.2">
      <c r="A16" s="15">
        <v>15</v>
      </c>
      <c r="B16" s="15">
        <f t="shared" si="0"/>
        <v>7</v>
      </c>
      <c r="C16" t="str">
        <f t="shared" si="1"/>
        <v>Tuesday</v>
      </c>
      <c r="D16" s="32">
        <v>46063</v>
      </c>
      <c r="E16" s="18">
        <f>SUMIFS(Income!K:K,Income!C:C,'Daily Tracker'!D16)</f>
        <v>89773.9</v>
      </c>
      <c r="F16" s="18">
        <f>SUMIFS(Expenses!G:G,Expenses!B:B,'Daily Tracker'!D16)</f>
        <v>272834</v>
      </c>
      <c r="G16" s="18">
        <f>SUMIFS('Order Book'!K:K,'Order Book'!C:C,'Daily Tracker'!D16)</f>
        <v>0</v>
      </c>
    </row>
    <row r="17" spans="1:7" x14ac:dyDescent="0.2">
      <c r="A17" s="15">
        <v>16</v>
      </c>
      <c r="B17" s="15">
        <f t="shared" si="0"/>
        <v>7</v>
      </c>
      <c r="C17" t="str">
        <f t="shared" si="1"/>
        <v>Wednesday</v>
      </c>
      <c r="D17" s="32">
        <v>46064</v>
      </c>
      <c r="E17" s="18">
        <f>SUMIFS(Income!K:K,Income!C:C,'Daily Tracker'!D17)</f>
        <v>40000</v>
      </c>
      <c r="F17" s="18">
        <f>SUMIFS(Expenses!G:G,Expenses!B:B,'Daily Tracker'!D17)</f>
        <v>0</v>
      </c>
      <c r="G17" s="18">
        <f>SUMIFS('Order Book'!K:K,'Order Book'!C:C,'Daily Tracker'!D17)</f>
        <v>0</v>
      </c>
    </row>
    <row r="18" spans="1:7" x14ac:dyDescent="0.2">
      <c r="A18" s="15">
        <v>17</v>
      </c>
      <c r="B18" s="15">
        <f t="shared" si="0"/>
        <v>7</v>
      </c>
      <c r="C18" t="str">
        <f t="shared" si="1"/>
        <v>Thursday</v>
      </c>
      <c r="D18" s="32">
        <v>46065</v>
      </c>
      <c r="E18" s="18">
        <f>SUMIFS(Income!K:K,Income!C:C,'Daily Tracker'!D18)</f>
        <v>0</v>
      </c>
      <c r="F18" s="18">
        <f>SUMIFS(Expenses!G:G,Expenses!B:B,'Daily Tracker'!D18)</f>
        <v>24000</v>
      </c>
      <c r="G18" s="18">
        <f>SUMIFS('Order Book'!K:K,'Order Book'!C:C,'Daily Tracker'!D18)</f>
        <v>0</v>
      </c>
    </row>
    <row r="19" spans="1:7" x14ac:dyDescent="0.2">
      <c r="A19" s="15">
        <v>18</v>
      </c>
      <c r="B19" s="15">
        <f t="shared" si="0"/>
        <v>7</v>
      </c>
      <c r="C19" t="str">
        <f t="shared" si="1"/>
        <v>Friday</v>
      </c>
      <c r="D19" s="32">
        <v>46066</v>
      </c>
      <c r="E19" s="18">
        <f>SUMIFS(Income!K:K,Income!C:C,'Daily Tracker'!D19)</f>
        <v>74000</v>
      </c>
      <c r="F19" s="18">
        <f>SUMIFS(Expenses!G:G,Expenses!B:B,'Daily Tracker'!D19)</f>
        <v>21400</v>
      </c>
      <c r="G19" s="18">
        <f>SUMIFS('Order Book'!K:K,'Order Book'!C:C,'Daily Tracker'!D19)</f>
        <v>0</v>
      </c>
    </row>
    <row r="20" spans="1:7" x14ac:dyDescent="0.2">
      <c r="A20" s="15">
        <v>19</v>
      </c>
      <c r="B20" s="15">
        <f t="shared" si="0"/>
        <v>7</v>
      </c>
      <c r="C20" t="str">
        <f t="shared" si="1"/>
        <v>Saturday</v>
      </c>
      <c r="D20" s="32">
        <v>46067</v>
      </c>
      <c r="E20" s="18">
        <f>SUMIFS(Income!K:K,Income!C:C,'Daily Tracker'!D20)</f>
        <v>0</v>
      </c>
      <c r="F20" s="18">
        <f>SUMIFS(Expenses!G:G,Expenses!B:B,'Daily Tracker'!D20)</f>
        <v>0</v>
      </c>
      <c r="G20" s="18">
        <f>SUMIFS('Order Book'!K:K,'Order Book'!C:C,'Daily Tracker'!D20)</f>
        <v>0</v>
      </c>
    </row>
    <row r="21" spans="1:7" x14ac:dyDescent="0.2">
      <c r="A21" s="15">
        <v>20</v>
      </c>
      <c r="B21" s="15">
        <f t="shared" si="0"/>
        <v>8</v>
      </c>
      <c r="C21" t="str">
        <f t="shared" si="1"/>
        <v>Sunday</v>
      </c>
      <c r="D21" s="32">
        <v>46068</v>
      </c>
      <c r="E21" s="18">
        <f>SUMIFS(Income!K:K,Income!C:C,'Daily Tracker'!D21)</f>
        <v>0</v>
      </c>
      <c r="F21" s="18">
        <f>SUMIFS(Expenses!G:G,Expenses!B:B,'Daily Tracker'!D21)</f>
        <v>0</v>
      </c>
      <c r="G21" s="18">
        <f>SUMIFS('Order Book'!K:K,'Order Book'!C:C,'Daily Tracker'!D21)</f>
        <v>0</v>
      </c>
    </row>
    <row r="22" spans="1:7" x14ac:dyDescent="0.2">
      <c r="A22" s="15">
        <v>21</v>
      </c>
      <c r="B22" s="15">
        <f t="shared" si="0"/>
        <v>8</v>
      </c>
      <c r="C22" t="str">
        <f t="shared" si="1"/>
        <v>Monday</v>
      </c>
      <c r="D22" s="32">
        <v>46069</v>
      </c>
      <c r="E22" s="18">
        <f>SUMIFS(Income!K:K,Income!C:C,'Daily Tracker'!D22)</f>
        <v>0</v>
      </c>
      <c r="F22" s="18">
        <f>SUMIFS(Expenses!G:G,Expenses!B:B,'Daily Tracker'!D22)</f>
        <v>1000.0000000003492</v>
      </c>
      <c r="G22" s="18">
        <f>SUMIFS('Order Book'!K:K,'Order Book'!C:C,'Daily Tracker'!D22)</f>
        <v>0</v>
      </c>
    </row>
    <row r="23" spans="1:7" x14ac:dyDescent="0.2">
      <c r="A23" s="15">
        <v>22</v>
      </c>
      <c r="B23" s="15">
        <f t="shared" si="0"/>
        <v>8</v>
      </c>
      <c r="C23" t="str">
        <f t="shared" si="1"/>
        <v>Tuesday</v>
      </c>
      <c r="D23" s="32">
        <v>46070</v>
      </c>
      <c r="E23" s="18">
        <f>SUMIFS(Income!K:K,Income!C:C,'Daily Tracker'!D23)</f>
        <v>0</v>
      </c>
      <c r="F23" s="18">
        <f>SUMIFS(Expenses!G:G,Expenses!B:B,'Daily Tracker'!D23)</f>
        <v>4289.8800000000019</v>
      </c>
      <c r="G23" s="18">
        <f>SUMIFS('Order Book'!K:K,'Order Book'!C:C,'Daily Tracker'!D23)</f>
        <v>0</v>
      </c>
    </row>
    <row r="24" spans="1:7" x14ac:dyDescent="0.2">
      <c r="A24" s="15">
        <v>23</v>
      </c>
      <c r="B24" s="15">
        <f t="shared" si="0"/>
        <v>8</v>
      </c>
      <c r="C24" t="str">
        <f t="shared" si="1"/>
        <v>Wednesday</v>
      </c>
      <c r="D24" s="32">
        <v>46071</v>
      </c>
      <c r="E24" s="18">
        <f>SUMIFS(Income!K:K,Income!C:C,'Daily Tracker'!D24)</f>
        <v>0</v>
      </c>
      <c r="F24" s="18">
        <f>SUMIFS(Expenses!G:G,Expenses!B:B,'Daily Tracker'!D24)</f>
        <v>52000</v>
      </c>
      <c r="G24" s="18">
        <f>SUMIFS('Order Book'!K:K,'Order Book'!C:C,'Daily Tracker'!D24)</f>
        <v>0</v>
      </c>
    </row>
    <row r="25" spans="1:7" x14ac:dyDescent="0.2">
      <c r="A25" s="15">
        <v>24</v>
      </c>
      <c r="B25" s="15">
        <f t="shared" si="0"/>
        <v>8</v>
      </c>
      <c r="C25" t="str">
        <f t="shared" si="1"/>
        <v>Thursday</v>
      </c>
      <c r="D25" s="32">
        <v>46072</v>
      </c>
      <c r="E25" s="18">
        <f>SUMIFS(Income!K:K,Income!C:C,'Daily Tracker'!D25)</f>
        <v>0</v>
      </c>
      <c r="F25" s="18">
        <f>SUMIFS(Expenses!G:G,Expenses!B:B,'Daily Tracker'!D25)</f>
        <v>1161.6199999999999</v>
      </c>
      <c r="G25" s="18">
        <f>SUMIFS('Order Book'!K:K,'Order Book'!C:C,'Daily Tracker'!D25)</f>
        <v>0</v>
      </c>
    </row>
    <row r="26" spans="1:7" x14ac:dyDescent="0.2">
      <c r="A26" s="15">
        <v>25</v>
      </c>
      <c r="B26" s="15">
        <f t="shared" si="0"/>
        <v>8</v>
      </c>
      <c r="C26" t="str">
        <f t="shared" si="1"/>
        <v>Friday</v>
      </c>
      <c r="D26" s="32">
        <v>46073</v>
      </c>
      <c r="E26" s="18">
        <f>SUMIFS(Income!K:K,Income!C:C,'Daily Tracker'!D26)</f>
        <v>0</v>
      </c>
      <c r="F26" s="18">
        <f>SUMIFS(Expenses!G:G,Expenses!B:B,'Daily Tracker'!D26)</f>
        <v>1343.31</v>
      </c>
      <c r="G26" s="18">
        <f>SUMIFS('Order Book'!K:K,'Order Book'!C:C,'Daily Tracker'!D26)</f>
        <v>0</v>
      </c>
    </row>
    <row r="27" spans="1:7" x14ac:dyDescent="0.2">
      <c r="A27" s="15">
        <v>26</v>
      </c>
      <c r="B27" s="15">
        <f t="shared" si="0"/>
        <v>8</v>
      </c>
      <c r="C27" t="str">
        <f t="shared" si="1"/>
        <v>Saturday</v>
      </c>
      <c r="D27" s="32">
        <v>46074</v>
      </c>
      <c r="E27" s="18">
        <f>SUMIFS(Income!K:K,Income!C:C,'Daily Tracker'!D27)</f>
        <v>115010</v>
      </c>
      <c r="F27" s="18">
        <f>SUMIFS(Expenses!G:G,Expenses!B:B,'Daily Tracker'!D27)</f>
        <v>3274</v>
      </c>
      <c r="G27" s="18">
        <f>SUMIFS('Order Book'!K:K,'Order Book'!C:C,'Daily Tracker'!D27)</f>
        <v>0</v>
      </c>
    </row>
    <row r="28" spans="1:7" x14ac:dyDescent="0.2">
      <c r="A28" s="15">
        <v>27</v>
      </c>
      <c r="B28" s="15">
        <f t="shared" si="0"/>
        <v>9</v>
      </c>
      <c r="C28" t="str">
        <f t="shared" si="1"/>
        <v>Sunday</v>
      </c>
      <c r="D28" s="32">
        <v>46075</v>
      </c>
      <c r="E28" s="18">
        <f>SUMIFS(Income!K:K,Income!C:C,'Daily Tracker'!D28)</f>
        <v>50000</v>
      </c>
      <c r="F28" s="18">
        <f>SUMIFS(Expenses!G:G,Expenses!B:B,'Daily Tracker'!D28)</f>
        <v>0</v>
      </c>
      <c r="G28" s="18">
        <f>SUMIFS('Order Book'!K:K,'Order Book'!C:C,'Daily Tracker'!D28)</f>
        <v>0</v>
      </c>
    </row>
    <row r="29" spans="1:7" x14ac:dyDescent="0.2">
      <c r="A29" s="15">
        <v>28</v>
      </c>
      <c r="B29" s="15">
        <f t="shared" si="0"/>
        <v>9</v>
      </c>
      <c r="C29" t="str">
        <f t="shared" si="1"/>
        <v>Monday</v>
      </c>
      <c r="D29" s="32">
        <v>46076</v>
      </c>
      <c r="E29" s="18">
        <f>SUMIFS(Income!K:K,Income!C:C,'Daily Tracker'!D29)</f>
        <v>57000</v>
      </c>
      <c r="F29" s="18">
        <f>SUMIFS(Expenses!G:G,Expenses!B:B,'Daily Tracker'!D29)</f>
        <v>530</v>
      </c>
      <c r="G29" s="18">
        <f>SUMIFS('Order Book'!K:K,'Order Book'!C:C,'Daily Tracker'!D29)</f>
        <v>190000</v>
      </c>
    </row>
    <row r="30" spans="1:7" x14ac:dyDescent="0.2">
      <c r="A30" s="15">
        <v>29</v>
      </c>
      <c r="B30" s="15">
        <f t="shared" si="0"/>
        <v>9</v>
      </c>
      <c r="C30" t="str">
        <f t="shared" si="1"/>
        <v>Tuesday</v>
      </c>
      <c r="D30" s="32">
        <v>46077</v>
      </c>
      <c r="E30" s="18">
        <f>SUMIFS(Income!K:K,Income!C:C,'Daily Tracker'!D30)</f>
        <v>0</v>
      </c>
      <c r="F30" s="18">
        <f>SUMIFS(Expenses!G:G,Expenses!B:B,'Daily Tracker'!D30)</f>
        <v>124</v>
      </c>
      <c r="G30" s="18">
        <f>SUMIFS('Order Book'!K:K,'Order Book'!C:C,'Daily Tracker'!D30)</f>
        <v>0</v>
      </c>
    </row>
    <row r="31" spans="1:7" x14ac:dyDescent="0.2">
      <c r="A31" s="15">
        <v>30</v>
      </c>
      <c r="B31" s="15">
        <f t="shared" si="0"/>
        <v>9</v>
      </c>
      <c r="C31" t="str">
        <f t="shared" si="1"/>
        <v>Wednesday</v>
      </c>
      <c r="D31" s="32">
        <v>46078</v>
      </c>
      <c r="E31" s="18">
        <f>SUMIFS(Income!K:K,Income!C:C,'Daily Tracker'!D31)</f>
        <v>8000</v>
      </c>
      <c r="F31" s="18">
        <f>SUMIFS(Expenses!G:G,Expenses!B:B,'Daily Tracker'!D31)</f>
        <v>1050</v>
      </c>
      <c r="G31" s="18">
        <f>SUMIFS('Order Book'!K:K,'Order Book'!C:C,'Daily Tracker'!D31)</f>
        <v>23010</v>
      </c>
    </row>
    <row r="32" spans="1:7" x14ac:dyDescent="0.2">
      <c r="A32" s="15">
        <v>31</v>
      </c>
      <c r="B32" s="15">
        <f t="shared" si="0"/>
        <v>9</v>
      </c>
      <c r="C32" t="str">
        <f t="shared" si="1"/>
        <v>Thursday</v>
      </c>
      <c r="D32" s="32">
        <v>46079</v>
      </c>
      <c r="E32" s="18">
        <f>SUMIFS(Income!K:K,Income!C:C,'Daily Tracker'!D32)</f>
        <v>0</v>
      </c>
      <c r="F32" s="18">
        <f>SUMIFS(Expenses!G:G,Expenses!B:B,'Daily Tracker'!D32)</f>
        <v>3191</v>
      </c>
      <c r="G32" s="18">
        <f>SUMIFS('Order Book'!K:K,'Order Book'!C:C,'Daily Tracker'!D32)</f>
        <v>0</v>
      </c>
    </row>
    <row r="33" spans="1:7" x14ac:dyDescent="0.2">
      <c r="A33" s="15">
        <v>32</v>
      </c>
      <c r="B33" s="15">
        <f t="shared" si="0"/>
        <v>9</v>
      </c>
      <c r="C33" t="str">
        <f t="shared" si="1"/>
        <v>Friday</v>
      </c>
      <c r="D33" s="32">
        <v>46080</v>
      </c>
      <c r="E33" s="18">
        <f>SUMIFS(Income!K:K,Income!C:C,'Daily Tracker'!D33)</f>
        <v>0</v>
      </c>
      <c r="F33" s="18">
        <f>SUMIFS(Expenses!G:G,Expenses!B:B,'Daily Tracker'!D33)</f>
        <v>0</v>
      </c>
      <c r="G33" s="18">
        <f>SUMIFS('Order Book'!K:K,'Order Book'!C:C,'Daily Tracker'!D33)</f>
        <v>0</v>
      </c>
    </row>
    <row r="34" spans="1:7" x14ac:dyDescent="0.2">
      <c r="A34" s="15">
        <v>33</v>
      </c>
      <c r="B34" s="15">
        <f t="shared" si="0"/>
        <v>9</v>
      </c>
      <c r="C34" t="str">
        <f t="shared" si="1"/>
        <v>Saturday</v>
      </c>
      <c r="D34" s="32">
        <v>46081</v>
      </c>
      <c r="E34" s="18">
        <f>SUMIFS(Income!K:K,Income!C:C,'Daily Tracker'!D34)</f>
        <v>82600</v>
      </c>
      <c r="F34" s="18">
        <f>SUMIFS(Expenses!G:G,Expenses!B:B,'Daily Tracker'!D34)</f>
        <v>0</v>
      </c>
      <c r="G34" s="18">
        <f>SUMIFS('Order Book'!K:K,'Order Book'!C:C,'Daily Tracker'!D34)</f>
        <v>206500</v>
      </c>
    </row>
    <row r="35" spans="1:7" x14ac:dyDescent="0.2">
      <c r="A35" s="15">
        <v>34</v>
      </c>
      <c r="B35" s="15">
        <f t="shared" si="0"/>
        <v>10</v>
      </c>
      <c r="C35" t="str">
        <f t="shared" si="1"/>
        <v>Sunday</v>
      </c>
      <c r="D35" s="32">
        <v>46082</v>
      </c>
      <c r="E35" s="18">
        <f>SUMIFS(Income!K:K,Income!C:C,'Daily Tracker'!D35)</f>
        <v>0</v>
      </c>
      <c r="F35" s="18">
        <f>SUMIFS(Expenses!G:G,Expenses!B:B,'Daily Tracker'!D35)</f>
        <v>0</v>
      </c>
      <c r="G35" s="18">
        <f>SUMIFS('Order Book'!K:K,'Order Book'!C:C,'Daily Tracker'!D35)</f>
        <v>0</v>
      </c>
    </row>
    <row r="36" spans="1:7" x14ac:dyDescent="0.2">
      <c r="A36" s="15">
        <v>35</v>
      </c>
      <c r="B36" s="15">
        <f t="shared" si="0"/>
        <v>10</v>
      </c>
      <c r="C36" t="str">
        <f t="shared" si="1"/>
        <v>Monday</v>
      </c>
      <c r="D36" s="32">
        <v>46083</v>
      </c>
      <c r="E36" s="18">
        <f>SUMIFS(Income!K:K,Income!C:C,'Daily Tracker'!D36)</f>
        <v>75000</v>
      </c>
      <c r="F36" s="18">
        <f>SUMIFS(Expenses!G:G,Expenses!B:B,'Daily Tracker'!D36)</f>
        <v>4759</v>
      </c>
      <c r="G36" s="18">
        <f>SUMIFS('Order Book'!K:K,'Order Book'!C:C,'Daily Tracker'!D36)</f>
        <v>0</v>
      </c>
    </row>
    <row r="37" spans="1:7" x14ac:dyDescent="0.2">
      <c r="A37" s="15">
        <v>36</v>
      </c>
      <c r="B37" s="15">
        <f t="shared" si="0"/>
        <v>10</v>
      </c>
      <c r="C37" t="str">
        <f t="shared" si="1"/>
        <v>Tuesday</v>
      </c>
      <c r="D37" s="32">
        <v>46084</v>
      </c>
      <c r="E37" s="18">
        <f>SUMIFS(Income!K:K,Income!C:C,'Daily Tracker'!D37)</f>
        <v>0</v>
      </c>
      <c r="F37" s="18">
        <f>SUMIFS(Expenses!G:G,Expenses!B:B,'Daily Tracker'!D37)</f>
        <v>20000</v>
      </c>
      <c r="G37" s="18">
        <f>SUMIFS('Order Book'!K:K,'Order Book'!C:C,'Daily Tracker'!D37)</f>
        <v>0</v>
      </c>
    </row>
    <row r="38" spans="1:7" x14ac:dyDescent="0.2">
      <c r="A38" s="15">
        <v>37</v>
      </c>
      <c r="B38" s="15">
        <f t="shared" si="0"/>
        <v>10</v>
      </c>
      <c r="C38" t="str">
        <f t="shared" si="1"/>
        <v>Wednesday</v>
      </c>
      <c r="D38" s="32">
        <v>46085</v>
      </c>
      <c r="E38" s="18">
        <f>SUMIFS(Income!K:K,Income!C:C,'Daily Tracker'!D38)</f>
        <v>0</v>
      </c>
      <c r="F38" s="18">
        <f>SUMIFS(Expenses!G:G,Expenses!B:B,'Daily Tracker'!D38)</f>
        <v>0</v>
      </c>
      <c r="G38" s="18">
        <f>SUMIFS('Order Book'!K:K,'Order Book'!C:C,'Daily Tracker'!D38)</f>
        <v>0</v>
      </c>
    </row>
    <row r="39" spans="1:7" x14ac:dyDescent="0.2">
      <c r="A39" s="15">
        <v>38</v>
      </c>
      <c r="B39" s="15">
        <f t="shared" si="0"/>
        <v>10</v>
      </c>
      <c r="C39" t="str">
        <f t="shared" si="1"/>
        <v>Thursday</v>
      </c>
      <c r="D39" s="32">
        <v>46086</v>
      </c>
      <c r="E39" s="18">
        <f>SUMIFS(Income!K:K,Income!C:C,'Daily Tracker'!D39)</f>
        <v>30000</v>
      </c>
      <c r="F39" s="18">
        <f>SUMIFS(Expenses!G:G,Expenses!B:B,'Daily Tracker'!D39)</f>
        <v>1996.82</v>
      </c>
      <c r="G39" s="18">
        <f>SUMIFS('Order Book'!K:K,'Order Book'!C:C,'Daily Tracker'!D39)</f>
        <v>95000</v>
      </c>
    </row>
    <row r="40" spans="1:7" x14ac:dyDescent="0.2">
      <c r="A40" s="15">
        <v>39</v>
      </c>
      <c r="B40" s="15">
        <f t="shared" si="0"/>
        <v>10</v>
      </c>
      <c r="C40" t="str">
        <f t="shared" si="1"/>
        <v>Friday</v>
      </c>
      <c r="D40" s="32">
        <v>46087</v>
      </c>
      <c r="E40" s="18">
        <f>SUMIFS(Income!K:K,Income!C:C,'Daily Tracker'!D40)</f>
        <v>0</v>
      </c>
      <c r="F40" s="18">
        <f>SUMIFS(Expenses!G:G,Expenses!B:B,'Daily Tracker'!D40)</f>
        <v>0</v>
      </c>
      <c r="G40" s="18">
        <f>SUMIFS('Order Book'!K:K,'Order Book'!C:C,'Daily Tracker'!D40)</f>
        <v>0</v>
      </c>
    </row>
    <row r="41" spans="1:7" x14ac:dyDescent="0.2">
      <c r="A41" s="15">
        <v>40</v>
      </c>
      <c r="B41" s="15">
        <f t="shared" si="0"/>
        <v>10</v>
      </c>
      <c r="C41" t="str">
        <f t="shared" si="1"/>
        <v>Saturday</v>
      </c>
      <c r="D41" s="32">
        <v>46088</v>
      </c>
      <c r="E41" s="18">
        <f>SUMIFS(Income!K:K,Income!C:C,'Daily Tracker'!D41)</f>
        <v>0</v>
      </c>
      <c r="F41" s="18">
        <f>SUMIFS(Expenses!G:G,Expenses!B:B,'Daily Tracker'!D41)</f>
        <v>0</v>
      </c>
      <c r="G41" s="18">
        <f>SUMIFS('Order Book'!K:K,'Order Book'!C:C,'Daily Tracker'!D41)</f>
        <v>0</v>
      </c>
    </row>
    <row r="42" spans="1:7" x14ac:dyDescent="0.2">
      <c r="A42" s="15">
        <v>41</v>
      </c>
      <c r="B42" s="15">
        <f t="shared" si="0"/>
        <v>11</v>
      </c>
      <c r="C42" t="str">
        <f t="shared" si="1"/>
        <v>Sunday</v>
      </c>
      <c r="D42" s="32">
        <v>46089</v>
      </c>
      <c r="E42" s="18">
        <f>SUMIFS(Income!K:K,Income!C:C,'Daily Tracker'!D42)</f>
        <v>0</v>
      </c>
      <c r="F42" s="18">
        <f>SUMIFS(Expenses!G:G,Expenses!B:B,'Daily Tracker'!D42)</f>
        <v>0</v>
      </c>
      <c r="G42" s="18">
        <f>SUMIFS('Order Book'!K:K,'Order Book'!C:C,'Daily Tracker'!D42)</f>
        <v>0</v>
      </c>
    </row>
    <row r="43" spans="1:7" x14ac:dyDescent="0.2">
      <c r="A43" s="15">
        <v>42</v>
      </c>
      <c r="B43" s="15">
        <f t="shared" si="0"/>
        <v>11</v>
      </c>
      <c r="C43" t="str">
        <f t="shared" si="1"/>
        <v>Monday</v>
      </c>
      <c r="D43" s="32">
        <v>46090</v>
      </c>
      <c r="E43" s="18">
        <f>SUMIFS(Income!K:K,Income!C:C,'Daily Tracker'!D43)</f>
        <v>0</v>
      </c>
      <c r="F43" s="18">
        <f>SUMIFS(Expenses!G:G,Expenses!B:B,'Daily Tracker'!D43)</f>
        <v>3737</v>
      </c>
      <c r="G43" s="18">
        <f>SUMIFS('Order Book'!K:K,'Order Book'!C:C,'Daily Tracker'!D43)</f>
        <v>0</v>
      </c>
    </row>
    <row r="44" spans="1:7" x14ac:dyDescent="0.2">
      <c r="A44" s="15">
        <v>43</v>
      </c>
      <c r="B44" s="15">
        <f t="shared" si="0"/>
        <v>11</v>
      </c>
      <c r="C44" t="str">
        <f t="shared" si="1"/>
        <v>Tuesday</v>
      </c>
      <c r="D44" s="32">
        <v>46091</v>
      </c>
      <c r="E44" s="18">
        <f>SUMIFS(Income!K:K,Income!C:C,'Daily Tracker'!D44)</f>
        <v>0</v>
      </c>
      <c r="F44" s="18">
        <f>SUMIFS(Expenses!G:G,Expenses!B:B,'Daily Tracker'!D44)</f>
        <v>355209.33999999997</v>
      </c>
      <c r="G44" s="18">
        <f>SUMIFS('Order Book'!K:K,'Order Book'!C:C,'Daily Tracker'!D44)</f>
        <v>0</v>
      </c>
    </row>
    <row r="45" spans="1:7" x14ac:dyDescent="0.2">
      <c r="A45" s="15">
        <v>44</v>
      </c>
      <c r="B45" s="15">
        <f t="shared" si="0"/>
        <v>11</v>
      </c>
      <c r="C45" t="str">
        <f t="shared" si="1"/>
        <v>Wednesday</v>
      </c>
      <c r="D45" s="32">
        <v>46092</v>
      </c>
      <c r="E45" s="18">
        <f>SUMIFS(Income!K:K,Income!C:C,'Daily Tracker'!D45)</f>
        <v>0</v>
      </c>
      <c r="F45" s="18">
        <f>SUMIFS(Expenses!G:G,Expenses!B:B,'Daily Tracker'!D45)</f>
        <v>0</v>
      </c>
      <c r="G45" s="18">
        <f>SUMIFS('Order Book'!K:K,'Order Book'!C:C,'Daily Tracker'!D45)</f>
        <v>0</v>
      </c>
    </row>
    <row r="46" spans="1:7" x14ac:dyDescent="0.2">
      <c r="A46" s="15">
        <v>45</v>
      </c>
      <c r="B46" s="15">
        <f t="shared" si="0"/>
        <v>11</v>
      </c>
      <c r="C46" t="str">
        <f t="shared" si="1"/>
        <v>Thursday</v>
      </c>
      <c r="D46" s="32">
        <v>46093</v>
      </c>
      <c r="E46" s="18">
        <f>SUMIFS(Income!K:K,Income!C:C,'Daily Tracker'!D46)</f>
        <v>0</v>
      </c>
      <c r="F46" s="18">
        <f>SUMIFS(Expenses!G:G,Expenses!B:B,'Daily Tracker'!D46)</f>
        <v>2362.02</v>
      </c>
      <c r="G46" s="18">
        <f>SUMIFS('Order Book'!K:K,'Order Book'!C:C,'Daily Tracker'!D46)</f>
        <v>0</v>
      </c>
    </row>
    <row r="47" spans="1:7" x14ac:dyDescent="0.2">
      <c r="A47" s="15">
        <v>46</v>
      </c>
      <c r="B47" s="15">
        <f t="shared" si="0"/>
        <v>11</v>
      </c>
      <c r="C47" t="str">
        <f t="shared" si="1"/>
        <v>Friday</v>
      </c>
      <c r="D47" s="32">
        <v>46094</v>
      </c>
      <c r="E47" s="18">
        <f>SUMIFS(Income!K:K,Income!C:C,'Daily Tracker'!D47)</f>
        <v>0</v>
      </c>
      <c r="F47" s="18">
        <f>SUMIFS(Expenses!G:G,Expenses!B:B,'Daily Tracker'!D47)</f>
        <v>0</v>
      </c>
      <c r="G47" s="18">
        <f>SUMIFS('Order Book'!K:K,'Order Book'!C:C,'Daily Tracker'!D47)</f>
        <v>0</v>
      </c>
    </row>
    <row r="48" spans="1:7" x14ac:dyDescent="0.2">
      <c r="A48" s="15">
        <v>47</v>
      </c>
      <c r="B48" s="15">
        <f t="shared" si="0"/>
        <v>11</v>
      </c>
      <c r="C48" t="str">
        <f t="shared" si="1"/>
        <v>Saturday</v>
      </c>
      <c r="D48" s="32">
        <v>46095</v>
      </c>
      <c r="E48" s="18">
        <f>SUMIFS(Income!K:K,Income!C:C,'Daily Tracker'!D48)</f>
        <v>0</v>
      </c>
      <c r="F48" s="18">
        <f>SUMIFS(Expenses!G:G,Expenses!B:B,'Daily Tracker'!D48)</f>
        <v>0</v>
      </c>
      <c r="G48" s="18">
        <f>SUMIFS('Order Book'!K:K,'Order Book'!C:C,'Daily Tracker'!D48)</f>
        <v>0</v>
      </c>
    </row>
    <row r="49" spans="1:7" x14ac:dyDescent="0.2">
      <c r="A49" s="15">
        <v>48</v>
      </c>
      <c r="B49" s="15">
        <f t="shared" si="0"/>
        <v>12</v>
      </c>
      <c r="C49" t="str">
        <f t="shared" si="1"/>
        <v>Sunday</v>
      </c>
      <c r="D49" s="32">
        <v>46096</v>
      </c>
      <c r="E49" s="18">
        <f>SUMIFS(Income!K:K,Income!C:C,'Daily Tracker'!D49)</f>
        <v>0</v>
      </c>
      <c r="F49" s="18">
        <f>SUMIFS(Expenses!G:G,Expenses!B:B,'Daily Tracker'!D49)</f>
        <v>0</v>
      </c>
      <c r="G49" s="18">
        <f>SUMIFS('Order Book'!K:K,'Order Book'!C:C,'Daily Tracker'!D49)</f>
        <v>0</v>
      </c>
    </row>
    <row r="50" spans="1:7" x14ac:dyDescent="0.2">
      <c r="A50" s="15">
        <v>49</v>
      </c>
      <c r="B50" s="15">
        <f t="shared" si="0"/>
        <v>12</v>
      </c>
      <c r="C50" t="str">
        <f t="shared" si="1"/>
        <v>Monday</v>
      </c>
      <c r="D50" s="32">
        <v>46097</v>
      </c>
      <c r="E50" s="18">
        <f>SUMIFS(Income!K:K,Income!C:C,'Daily Tracker'!D50)</f>
        <v>0</v>
      </c>
      <c r="F50" s="18">
        <f>SUMIFS(Expenses!G:G,Expenses!B:B,'Daily Tracker'!D50)</f>
        <v>32000</v>
      </c>
      <c r="G50" s="18">
        <f>SUMIFS('Order Book'!K:K,'Order Book'!C:C,'Daily Tracker'!D50)</f>
        <v>0</v>
      </c>
    </row>
    <row r="51" spans="1:7" x14ac:dyDescent="0.2">
      <c r="A51" s="15">
        <v>50</v>
      </c>
      <c r="B51" s="15">
        <f t="shared" si="0"/>
        <v>12</v>
      </c>
      <c r="C51" t="str">
        <f t="shared" si="1"/>
        <v>Tuesday</v>
      </c>
      <c r="D51" s="32">
        <v>46098</v>
      </c>
      <c r="E51" s="18">
        <f>SUMIFS(Income!K:K,Income!C:C,'Daily Tracker'!D51)</f>
        <v>0</v>
      </c>
      <c r="F51" s="18">
        <f>SUMIFS(Expenses!G:G,Expenses!B:B,'Daily Tracker'!D51)</f>
        <v>0</v>
      </c>
      <c r="G51" s="18">
        <f>SUMIFS('Order Book'!K:K,'Order Book'!C:C,'Daily Tracker'!D51)</f>
        <v>0</v>
      </c>
    </row>
    <row r="52" spans="1:7" x14ac:dyDescent="0.2">
      <c r="A52" s="15">
        <v>51</v>
      </c>
      <c r="B52" s="15">
        <f t="shared" si="0"/>
        <v>12</v>
      </c>
      <c r="C52" t="str">
        <f t="shared" si="1"/>
        <v>Wednesday</v>
      </c>
      <c r="D52" s="32">
        <v>46099</v>
      </c>
      <c r="E52" s="18">
        <f>SUMIFS(Income!K:K,Income!C:C,'Daily Tracker'!D52)</f>
        <v>0</v>
      </c>
      <c r="F52" s="18">
        <f>SUMIFS(Expenses!G:G,Expenses!B:B,'Daily Tracker'!D52)</f>
        <v>0</v>
      </c>
      <c r="G52" s="18">
        <f>SUMIFS('Order Book'!K:K,'Order Book'!C:C,'Daily Tracker'!D52)</f>
        <v>0</v>
      </c>
    </row>
    <row r="53" spans="1:7" x14ac:dyDescent="0.2">
      <c r="A53" s="15">
        <v>52</v>
      </c>
      <c r="B53" s="15">
        <f t="shared" si="0"/>
        <v>12</v>
      </c>
      <c r="C53" t="str">
        <f t="shared" si="1"/>
        <v>Thursday</v>
      </c>
      <c r="D53" s="32">
        <v>46100</v>
      </c>
      <c r="E53" s="18">
        <f>SUMIFS(Income!K:K,Income!C:C,'Daily Tracker'!D53)</f>
        <v>0</v>
      </c>
      <c r="F53" s="18">
        <f>SUMIFS(Expenses!G:G,Expenses!B:B,'Daily Tracker'!D53)</f>
        <v>0</v>
      </c>
      <c r="G53" s="18">
        <f>SUMIFS('Order Book'!K:K,'Order Book'!C:C,'Daily Tracker'!D53)</f>
        <v>0</v>
      </c>
    </row>
    <row r="54" spans="1:7" x14ac:dyDescent="0.2">
      <c r="A54" s="15">
        <v>53</v>
      </c>
      <c r="B54" s="15">
        <f t="shared" si="0"/>
        <v>12</v>
      </c>
      <c r="C54" t="str">
        <f t="shared" si="1"/>
        <v>Friday</v>
      </c>
      <c r="D54" s="32">
        <v>46101</v>
      </c>
      <c r="E54" s="18">
        <f>SUMIFS(Income!K:K,Income!C:C,'Daily Tracker'!D54)</f>
        <v>0</v>
      </c>
      <c r="F54" s="18">
        <f>SUMIFS(Expenses!G:G,Expenses!B:B,'Daily Tracker'!D54)</f>
        <v>0</v>
      </c>
      <c r="G54" s="18">
        <f>SUMIFS('Order Book'!K:K,'Order Book'!C:C,'Daily Tracker'!D54)</f>
        <v>0</v>
      </c>
    </row>
    <row r="55" spans="1:7" x14ac:dyDescent="0.2">
      <c r="A55" s="15">
        <v>54</v>
      </c>
      <c r="B55" s="15">
        <f t="shared" si="0"/>
        <v>12</v>
      </c>
      <c r="C55" t="str">
        <f t="shared" si="1"/>
        <v>Saturday</v>
      </c>
      <c r="D55" s="32">
        <v>46102</v>
      </c>
      <c r="E55" s="18">
        <f>SUMIFS(Income!K:K,Income!C:C,'Daily Tracker'!D55)</f>
        <v>0</v>
      </c>
      <c r="F55" s="18">
        <f>SUMIFS(Expenses!G:G,Expenses!B:B,'Daily Tracker'!D55)</f>
        <v>0</v>
      </c>
      <c r="G55" s="18">
        <f>SUMIFS('Order Book'!K:K,'Order Book'!C:C,'Daily Tracker'!D55)</f>
        <v>0</v>
      </c>
    </row>
    <row r="56" spans="1:7" x14ac:dyDescent="0.2">
      <c r="A56" s="15">
        <v>55</v>
      </c>
      <c r="B56" s="15">
        <f t="shared" si="0"/>
        <v>13</v>
      </c>
      <c r="C56" t="str">
        <f t="shared" si="1"/>
        <v>Sunday</v>
      </c>
      <c r="D56" s="32">
        <v>46103</v>
      </c>
      <c r="E56" s="18">
        <f>SUMIFS(Income!K:K,Income!C:C,'Daily Tracker'!D56)</f>
        <v>0</v>
      </c>
      <c r="F56" s="18">
        <f>SUMIFS(Expenses!G:G,Expenses!B:B,'Daily Tracker'!D56)</f>
        <v>0</v>
      </c>
      <c r="G56" s="18">
        <f>SUMIFS('Order Book'!K:K,'Order Book'!C:C,'Daily Tracker'!D56)</f>
        <v>0</v>
      </c>
    </row>
    <row r="57" spans="1:7" x14ac:dyDescent="0.2">
      <c r="A57" s="15">
        <v>56</v>
      </c>
      <c r="B57" s="15">
        <f t="shared" si="0"/>
        <v>13</v>
      </c>
      <c r="C57" t="str">
        <f t="shared" si="1"/>
        <v>Monday</v>
      </c>
      <c r="D57" s="32">
        <v>46104</v>
      </c>
      <c r="E57" s="18">
        <f>SUMIFS(Income!K:K,Income!C:C,'Daily Tracker'!D57)</f>
        <v>0</v>
      </c>
      <c r="F57" s="18">
        <f>SUMIFS(Expenses!G:G,Expenses!B:B,'Daily Tracker'!D57)</f>
        <v>0</v>
      </c>
      <c r="G57" s="18">
        <f>SUMIFS('Order Book'!K:K,'Order Book'!C:C,'Daily Tracker'!D57)</f>
        <v>0</v>
      </c>
    </row>
    <row r="58" spans="1:7" x14ac:dyDescent="0.2">
      <c r="A58" s="15">
        <v>57</v>
      </c>
      <c r="B58" s="15">
        <f t="shared" si="0"/>
        <v>13</v>
      </c>
      <c r="C58" t="str">
        <f t="shared" si="1"/>
        <v>Tuesday</v>
      </c>
      <c r="D58" s="32">
        <v>46105</v>
      </c>
      <c r="E58" s="18">
        <f>SUMIFS(Income!K:K,Income!C:C,'Daily Tracker'!D58)</f>
        <v>0</v>
      </c>
      <c r="F58" s="18">
        <f>SUMIFS(Expenses!G:G,Expenses!B:B,'Daily Tracker'!D58)</f>
        <v>0</v>
      </c>
      <c r="G58" s="18">
        <f>SUMIFS('Order Book'!K:K,'Order Book'!C:C,'Daily Tracker'!D58)</f>
        <v>0</v>
      </c>
    </row>
    <row r="59" spans="1:7" x14ac:dyDescent="0.2">
      <c r="A59" s="15">
        <v>58</v>
      </c>
      <c r="B59" s="15">
        <f t="shared" si="0"/>
        <v>13</v>
      </c>
      <c r="C59" t="str">
        <f t="shared" si="1"/>
        <v>Wednesday</v>
      </c>
      <c r="D59" s="32">
        <v>46106</v>
      </c>
      <c r="E59" s="18">
        <f>SUMIFS(Income!K:K,Income!C:C,'Daily Tracker'!D59)</f>
        <v>0</v>
      </c>
      <c r="F59" s="18">
        <f>SUMIFS(Expenses!G:G,Expenses!B:B,'Daily Tracker'!D59)</f>
        <v>0</v>
      </c>
      <c r="G59" s="18">
        <f>SUMIFS('Order Book'!K:K,'Order Book'!C:C,'Daily Tracker'!D59)</f>
        <v>0</v>
      </c>
    </row>
    <row r="60" spans="1:7" x14ac:dyDescent="0.2">
      <c r="A60" s="15">
        <v>59</v>
      </c>
      <c r="B60" s="15">
        <f t="shared" si="0"/>
        <v>13</v>
      </c>
      <c r="C60" t="str">
        <f t="shared" si="1"/>
        <v>Thursday</v>
      </c>
      <c r="D60" s="32">
        <v>46107</v>
      </c>
      <c r="E60" s="18">
        <f>SUMIFS(Income!K:K,Income!C:C,'Daily Tracker'!D60)</f>
        <v>0</v>
      </c>
      <c r="F60" s="18">
        <f>SUMIFS(Expenses!G:G,Expenses!B:B,'Daily Tracker'!D60)</f>
        <v>0</v>
      </c>
      <c r="G60" s="18">
        <f>SUMIFS('Order Book'!K:K,'Order Book'!C:C,'Daily Tracker'!D60)</f>
        <v>0</v>
      </c>
    </row>
    <row r="61" spans="1:7" x14ac:dyDescent="0.2">
      <c r="A61" s="15">
        <v>60</v>
      </c>
      <c r="B61" s="15">
        <f t="shared" si="0"/>
        <v>13</v>
      </c>
      <c r="C61" t="str">
        <f t="shared" si="1"/>
        <v>Friday</v>
      </c>
      <c r="D61" s="32">
        <v>46108</v>
      </c>
      <c r="E61" s="18">
        <f>SUMIFS(Income!K:K,Income!C:C,'Daily Tracker'!D61)</f>
        <v>0</v>
      </c>
      <c r="F61" s="18">
        <f>SUMIFS(Expenses!G:G,Expenses!B:B,'Daily Tracker'!D61)</f>
        <v>0</v>
      </c>
      <c r="G61" s="18">
        <f>SUMIFS('Order Book'!K:K,'Order Book'!C:C,'Daily Tracker'!D61)</f>
        <v>0</v>
      </c>
    </row>
    <row r="62" spans="1:7" x14ac:dyDescent="0.2">
      <c r="A62" s="15">
        <v>61</v>
      </c>
      <c r="B62" s="15">
        <f t="shared" si="0"/>
        <v>13</v>
      </c>
      <c r="C62" t="str">
        <f t="shared" si="1"/>
        <v>Saturday</v>
      </c>
      <c r="D62" s="32">
        <v>46109</v>
      </c>
      <c r="E62" s="18">
        <f>SUMIFS(Income!K:K,Income!C:C,'Daily Tracker'!D62)</f>
        <v>0</v>
      </c>
      <c r="F62" s="18">
        <f>SUMIFS(Expenses!G:G,Expenses!B:B,'Daily Tracker'!D62)</f>
        <v>0</v>
      </c>
      <c r="G62" s="18">
        <f>SUMIFS('Order Book'!K:K,'Order Book'!C:C,'Daily Tracker'!D62)</f>
        <v>0</v>
      </c>
    </row>
    <row r="63" spans="1:7" x14ac:dyDescent="0.2">
      <c r="A63" s="15">
        <v>62</v>
      </c>
      <c r="B63" s="15">
        <f t="shared" si="0"/>
        <v>14</v>
      </c>
      <c r="C63" t="str">
        <f t="shared" si="1"/>
        <v>Sunday</v>
      </c>
      <c r="D63" s="32">
        <v>46110</v>
      </c>
      <c r="E63" s="18">
        <f>SUMIFS(Income!K:K,Income!C:C,'Daily Tracker'!D63)</f>
        <v>0</v>
      </c>
      <c r="F63" s="18">
        <f>SUMIFS(Expenses!G:G,Expenses!B:B,'Daily Tracker'!D63)</f>
        <v>0</v>
      </c>
      <c r="G63" s="18">
        <f>SUMIFS('Order Book'!K:K,'Order Book'!C:C,'Daily Tracker'!D63)</f>
        <v>0</v>
      </c>
    </row>
    <row r="64" spans="1:7" x14ac:dyDescent="0.2">
      <c r="A64" s="15">
        <v>63</v>
      </c>
      <c r="B64" s="15">
        <f t="shared" si="0"/>
        <v>14</v>
      </c>
      <c r="C64" t="str">
        <f t="shared" si="1"/>
        <v>Monday</v>
      </c>
      <c r="D64" s="32">
        <v>46111</v>
      </c>
      <c r="E64" s="18">
        <f>SUMIFS(Income!K:K,Income!C:C,'Daily Tracker'!D64)</f>
        <v>0</v>
      </c>
      <c r="F64" s="18">
        <f>SUMIFS(Expenses!G:G,Expenses!B:B,'Daily Tracker'!D64)</f>
        <v>0</v>
      </c>
      <c r="G64" s="18">
        <f>SUMIFS('Order Book'!K:K,'Order Book'!C:C,'Daily Tracker'!D64)</f>
        <v>0</v>
      </c>
    </row>
    <row r="65" spans="1:7" x14ac:dyDescent="0.2">
      <c r="A65" s="15">
        <v>64</v>
      </c>
      <c r="B65" s="15">
        <f t="shared" si="0"/>
        <v>14</v>
      </c>
      <c r="C65" t="str">
        <f t="shared" si="1"/>
        <v>Tuesday</v>
      </c>
      <c r="D65" s="32">
        <v>46112</v>
      </c>
      <c r="E65" s="18">
        <f>SUMIFS(Income!K:K,Income!C:C,'Daily Tracker'!D65)</f>
        <v>0</v>
      </c>
      <c r="F65" s="18">
        <f>SUMIFS(Expenses!G:G,Expenses!B:B,'Daily Tracker'!D65)</f>
        <v>0</v>
      </c>
      <c r="G65" s="18">
        <f>SUMIFS('Order Book'!K:K,'Order Book'!C:C,'Daily Tracker'!D65)</f>
        <v>0</v>
      </c>
    </row>
    <row r="66" spans="1:7" x14ac:dyDescent="0.2">
      <c r="A66" s="15">
        <v>65</v>
      </c>
      <c r="B66" s="15">
        <f t="shared" si="0"/>
        <v>14</v>
      </c>
      <c r="C66" t="str">
        <f t="shared" si="1"/>
        <v>Wednesday</v>
      </c>
      <c r="D66" s="32">
        <v>46113</v>
      </c>
      <c r="E66" s="18">
        <f>SUMIFS(Income!K:K,Income!C:C,'Daily Tracker'!D66)</f>
        <v>0</v>
      </c>
      <c r="F66" s="18">
        <f>SUMIFS(Expenses!G:G,Expenses!B:B,'Daily Tracker'!D66)</f>
        <v>0</v>
      </c>
      <c r="G66" s="18">
        <f>SUMIFS('Order Book'!K:K,'Order Book'!C:C,'Daily Tracker'!D66)</f>
        <v>0</v>
      </c>
    </row>
  </sheetData>
  <conditionalFormatting sqref="A1:D1 D1:H66">
    <cfRule type="expression" dxfId="18" priority="1">
      <formula>$A1048569=TODAY()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6"/>
  <sheetViews>
    <sheetView zoomScale="118" zoomScaleNormal="145" workbookViewId="0">
      <pane ySplit="1" topLeftCell="A23" activePane="bottomLeft" state="frozen"/>
      <selection pane="bottomLeft" activeCell="E61" sqref="E61"/>
    </sheetView>
  </sheetViews>
  <sheetFormatPr defaultColWidth="12.5703125" defaultRowHeight="12.75" customHeight="1" x14ac:dyDescent="0.2"/>
  <cols>
    <col min="1" max="1" width="7" bestFit="1" customWidth="1"/>
    <col min="2" max="2" width="15.5703125" bestFit="1" customWidth="1"/>
    <col min="3" max="3" width="21.85546875" bestFit="1" customWidth="1"/>
    <col min="4" max="4" width="15.140625" style="18" bestFit="1" customWidth="1"/>
    <col min="5" max="5" width="12" bestFit="1" customWidth="1"/>
    <col min="6" max="6" width="15.5703125" bestFit="1" customWidth="1"/>
    <col min="7" max="7" width="15.7109375" bestFit="1" customWidth="1"/>
    <col min="8" max="8" width="16.42578125" bestFit="1" customWidth="1"/>
  </cols>
  <sheetData>
    <row r="1" spans="1:8" x14ac:dyDescent="0.2">
      <c r="A1" s="54" t="s">
        <v>0</v>
      </c>
      <c r="B1" s="54" t="s">
        <v>34</v>
      </c>
      <c r="C1" s="54" t="s">
        <v>35</v>
      </c>
      <c r="D1" s="55" t="s">
        <v>19</v>
      </c>
      <c r="E1" s="56" t="s">
        <v>36</v>
      </c>
      <c r="F1" s="56" t="s">
        <v>37</v>
      </c>
      <c r="G1" s="56" t="s">
        <v>38</v>
      </c>
    </row>
    <row r="2" spans="1:8" ht="12.75" customHeight="1" x14ac:dyDescent="0.2">
      <c r="A2" s="1">
        <v>1</v>
      </c>
      <c r="B2" t="s">
        <v>39</v>
      </c>
      <c r="C2" s="2" t="s">
        <v>40</v>
      </c>
      <c r="D2" s="143">
        <v>15000</v>
      </c>
      <c r="E2" t="s">
        <v>41</v>
      </c>
      <c r="G2" s="59" t="s">
        <v>42</v>
      </c>
      <c r="H2">
        <v>17500</v>
      </c>
    </row>
    <row r="3" spans="1:8" ht="12.75" customHeight="1" x14ac:dyDescent="0.2">
      <c r="A3" s="1">
        <v>2</v>
      </c>
      <c r="B3" s="2" t="s">
        <v>43</v>
      </c>
      <c r="C3" t="s">
        <v>44</v>
      </c>
      <c r="D3" s="18">
        <v>15000</v>
      </c>
      <c r="E3" t="s">
        <v>41</v>
      </c>
      <c r="F3" t="s">
        <v>45</v>
      </c>
      <c r="G3" s="25">
        <v>45958</v>
      </c>
      <c r="H3">
        <v>12000</v>
      </c>
    </row>
    <row r="4" spans="1:8" ht="12.75" customHeight="1" x14ac:dyDescent="0.2">
      <c r="A4" s="1">
        <v>3</v>
      </c>
      <c r="B4" s="2" t="s">
        <v>43</v>
      </c>
      <c r="C4" t="s">
        <v>46</v>
      </c>
      <c r="D4" s="143">
        <v>31000</v>
      </c>
      <c r="E4" t="s">
        <v>41</v>
      </c>
      <c r="F4" s="57" t="s">
        <v>42</v>
      </c>
      <c r="G4" s="59" t="s">
        <v>42</v>
      </c>
      <c r="H4">
        <v>35000</v>
      </c>
    </row>
    <row r="5" spans="1:8" ht="12.75" customHeight="1" x14ac:dyDescent="0.2">
      <c r="A5" s="1">
        <v>4</v>
      </c>
      <c r="B5" s="2" t="s">
        <v>43</v>
      </c>
      <c r="C5" t="s">
        <v>47</v>
      </c>
      <c r="D5" s="18">
        <v>25000</v>
      </c>
      <c r="E5" t="s">
        <v>41</v>
      </c>
      <c r="G5" s="17"/>
      <c r="H5">
        <v>25000</v>
      </c>
    </row>
    <row r="6" spans="1:8" ht="12.75" customHeight="1" x14ac:dyDescent="0.2">
      <c r="A6" s="1">
        <v>5</v>
      </c>
      <c r="B6" s="2" t="s">
        <v>43</v>
      </c>
      <c r="C6" t="s">
        <v>48</v>
      </c>
      <c r="D6" s="18">
        <v>15000</v>
      </c>
      <c r="E6" t="s">
        <v>41</v>
      </c>
      <c r="G6" s="17"/>
      <c r="H6">
        <v>10000</v>
      </c>
    </row>
    <row r="7" spans="1:8" x14ac:dyDescent="0.2">
      <c r="A7" s="1">
        <v>6</v>
      </c>
      <c r="B7" t="s">
        <v>49</v>
      </c>
      <c r="C7" s="57" t="s">
        <v>50</v>
      </c>
      <c r="D7" s="143">
        <v>45000</v>
      </c>
      <c r="E7" t="s">
        <v>41</v>
      </c>
      <c r="F7" t="s">
        <v>51</v>
      </c>
      <c r="G7" s="25">
        <v>45909</v>
      </c>
      <c r="H7">
        <v>45000</v>
      </c>
    </row>
    <row r="8" spans="1:8" x14ac:dyDescent="0.2">
      <c r="A8" s="1">
        <v>7</v>
      </c>
      <c r="B8" t="s">
        <v>49</v>
      </c>
      <c r="C8" s="2" t="s">
        <v>52</v>
      </c>
      <c r="D8" s="143">
        <v>30000</v>
      </c>
      <c r="E8" t="s">
        <v>41</v>
      </c>
      <c r="G8" s="132">
        <v>46069</v>
      </c>
      <c r="H8">
        <v>13000</v>
      </c>
    </row>
    <row r="9" spans="1:8" x14ac:dyDescent="0.2">
      <c r="A9" s="1">
        <v>8</v>
      </c>
      <c r="B9" t="s">
        <v>53</v>
      </c>
      <c r="C9" s="2" t="s">
        <v>54</v>
      </c>
      <c r="D9" s="18">
        <v>30000</v>
      </c>
      <c r="E9" t="s">
        <v>41</v>
      </c>
      <c r="F9" t="s">
        <v>55</v>
      </c>
      <c r="G9" s="25">
        <v>45894</v>
      </c>
      <c r="H9">
        <v>30000</v>
      </c>
    </row>
    <row r="10" spans="1:8" x14ac:dyDescent="0.2">
      <c r="A10" s="1">
        <v>9</v>
      </c>
      <c r="B10" t="s">
        <v>56</v>
      </c>
      <c r="C10" s="2" t="s">
        <v>57</v>
      </c>
      <c r="D10" s="99">
        <v>40000</v>
      </c>
      <c r="E10" t="s">
        <v>58</v>
      </c>
      <c r="G10" s="25">
        <v>45957</v>
      </c>
      <c r="H10">
        <v>40000</v>
      </c>
    </row>
    <row r="11" spans="1:8" x14ac:dyDescent="0.2">
      <c r="A11" s="1">
        <v>10</v>
      </c>
      <c r="B11" t="s">
        <v>59</v>
      </c>
      <c r="C11" s="2" t="s">
        <v>60</v>
      </c>
      <c r="D11" s="23"/>
      <c r="E11" t="s">
        <v>41</v>
      </c>
      <c r="G11" s="25"/>
    </row>
    <row r="12" spans="1:8" x14ac:dyDescent="0.2">
      <c r="A12" s="1">
        <v>11</v>
      </c>
      <c r="B12" t="s">
        <v>61</v>
      </c>
      <c r="C12" s="2" t="s">
        <v>62</v>
      </c>
      <c r="D12" s="23">
        <v>20000</v>
      </c>
      <c r="E12" t="s">
        <v>41</v>
      </c>
      <c r="G12">
        <v>46090</v>
      </c>
    </row>
    <row r="13" spans="1:8" x14ac:dyDescent="0.2">
      <c r="A13" s="1">
        <v>12</v>
      </c>
      <c r="B13" t="s">
        <v>49</v>
      </c>
      <c r="C13" s="2" t="s">
        <v>63</v>
      </c>
      <c r="D13" s="144">
        <v>33000</v>
      </c>
      <c r="E13" t="s">
        <v>41</v>
      </c>
      <c r="G13" s="25"/>
      <c r="H13">
        <v>15000</v>
      </c>
    </row>
    <row r="14" spans="1:8" x14ac:dyDescent="0.2">
      <c r="A14" s="1">
        <v>13</v>
      </c>
      <c r="B14" s="57" t="s">
        <v>49</v>
      </c>
      <c r="C14" s="2" t="s">
        <v>64</v>
      </c>
      <c r="D14" s="18">
        <v>0</v>
      </c>
      <c r="E14" s="57" t="s">
        <v>58</v>
      </c>
      <c r="G14" s="26"/>
    </row>
    <row r="15" spans="1:8" ht="12.75" customHeight="1" x14ac:dyDescent="0.2">
      <c r="A15" s="1">
        <v>14</v>
      </c>
      <c r="B15" s="57" t="s">
        <v>49</v>
      </c>
      <c r="C15" s="2" t="s">
        <v>65</v>
      </c>
      <c r="D15" s="18">
        <v>45000</v>
      </c>
      <c r="E15" s="57" t="s">
        <v>41</v>
      </c>
      <c r="G15" s="26">
        <v>46093</v>
      </c>
    </row>
    <row r="26" spans="1:6" x14ac:dyDescent="0.2">
      <c r="A26" s="1"/>
      <c r="C26" s="2" t="s">
        <v>66</v>
      </c>
      <c r="D26" s="23">
        <f>SUM(D2:D15)</f>
        <v>344000</v>
      </c>
      <c r="E26">
        <v>240000</v>
      </c>
      <c r="F26" s="15"/>
    </row>
    <row r="27" spans="1:6" x14ac:dyDescent="0.2">
      <c r="A27" s="1"/>
      <c r="C27" t="s">
        <v>67</v>
      </c>
      <c r="D27" s="23">
        <v>32000</v>
      </c>
      <c r="E27" s="23">
        <v>32000</v>
      </c>
    </row>
    <row r="28" spans="1:6" x14ac:dyDescent="0.2">
      <c r="A28" s="1"/>
      <c r="C28" t="s">
        <v>68</v>
      </c>
      <c r="D28" s="23">
        <v>18000</v>
      </c>
      <c r="E28" s="23">
        <v>18000</v>
      </c>
    </row>
    <row r="29" spans="1:6" x14ac:dyDescent="0.2">
      <c r="A29" s="1"/>
      <c r="C29" t="s">
        <v>69</v>
      </c>
      <c r="D29" s="99">
        <v>180000</v>
      </c>
    </row>
    <row r="30" spans="1:6" x14ac:dyDescent="0.2">
      <c r="A30" s="1"/>
      <c r="C30" t="s">
        <v>70</v>
      </c>
      <c r="D30" s="18">
        <v>4000</v>
      </c>
    </row>
    <row r="31" spans="1:6" x14ac:dyDescent="0.2">
      <c r="A31" s="1"/>
      <c r="E31" s="29"/>
    </row>
    <row r="32" spans="1:6" x14ac:dyDescent="0.2">
      <c r="A32" s="1"/>
      <c r="E32" s="29"/>
    </row>
    <row r="33" spans="1:6" x14ac:dyDescent="0.2">
      <c r="A33" s="1"/>
      <c r="C33" t="s">
        <v>71</v>
      </c>
      <c r="D33" s="42">
        <f>SUM(D26:D30)</f>
        <v>578000</v>
      </c>
      <c r="E33" s="29"/>
      <c r="F33" s="30">
        <f>D33+125000</f>
        <v>703000</v>
      </c>
    </row>
    <row r="34" spans="1:6" x14ac:dyDescent="0.2">
      <c r="A34" s="1"/>
      <c r="C34" t="s">
        <v>72</v>
      </c>
      <c r="D34" s="91">
        <f>D33*12</f>
        <v>6936000</v>
      </c>
      <c r="E34" s="15" t="s">
        <v>73</v>
      </c>
      <c r="F34" s="30">
        <f>F33/0.4</f>
        <v>1757500</v>
      </c>
    </row>
    <row r="35" spans="1:6" x14ac:dyDescent="0.2">
      <c r="A35" s="1"/>
      <c r="C35" t="s">
        <v>74</v>
      </c>
      <c r="D35" s="18">
        <f>D33/4</f>
        <v>144500</v>
      </c>
    </row>
    <row r="36" spans="1:6" x14ac:dyDescent="0.2">
      <c r="A36" s="1"/>
    </row>
  </sheetData>
  <phoneticPr fontId="13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FB85-3A99-4EC0-9F26-8F7CE9C4CE78}">
  <dimension ref="A1:K27"/>
  <sheetViews>
    <sheetView topLeftCell="A25" zoomScale="126" workbookViewId="0">
      <selection activeCell="J43" sqref="J43"/>
    </sheetView>
  </sheetViews>
  <sheetFormatPr defaultRowHeight="12.75" x14ac:dyDescent="0.2"/>
  <cols>
    <col min="1" max="1" width="5" bestFit="1" customWidth="1"/>
    <col min="2" max="2" width="14.42578125" bestFit="1" customWidth="1"/>
    <col min="3" max="3" width="20.5703125" bestFit="1" customWidth="1"/>
    <col min="4" max="4" width="18.85546875" bestFit="1" customWidth="1"/>
    <col min="5" max="5" width="12.28515625" bestFit="1" customWidth="1"/>
    <col min="6" max="7" width="14.28515625" bestFit="1" customWidth="1"/>
    <col min="8" max="8" width="21.42578125" bestFit="1" customWidth="1"/>
    <col min="9" max="9" width="14.28515625" bestFit="1" customWidth="1"/>
    <col min="10" max="10" width="34.42578125" bestFit="1" customWidth="1"/>
    <col min="11" max="11" width="13.7109375" style="18" bestFit="1" customWidth="1"/>
    <col min="12" max="12" width="14.28515625" bestFit="1" customWidth="1"/>
    <col min="13" max="13" width="20.42578125" bestFit="1" customWidth="1"/>
    <col min="14" max="14" width="14.28515625" bestFit="1" customWidth="1"/>
    <col min="16" max="16" width="4.85546875" bestFit="1" customWidth="1"/>
    <col min="17" max="17" width="14.28515625" bestFit="1" customWidth="1"/>
    <col min="18" max="18" width="21.42578125" bestFit="1" customWidth="1"/>
    <col min="19" max="19" width="14.28515625" bestFit="1" customWidth="1"/>
  </cols>
  <sheetData>
    <row r="1" spans="1:11" x14ac:dyDescent="0.2">
      <c r="A1" s="150" t="s">
        <v>75</v>
      </c>
      <c r="B1" s="151"/>
      <c r="C1" s="151"/>
      <c r="D1" s="151"/>
      <c r="E1" s="151"/>
      <c r="F1" s="151"/>
    </row>
    <row r="2" spans="1:11" x14ac:dyDescent="0.2">
      <c r="A2" s="54" t="s">
        <v>0</v>
      </c>
      <c r="B2" s="54" t="s">
        <v>34</v>
      </c>
      <c r="C2" s="54" t="s">
        <v>35</v>
      </c>
      <c r="D2" s="55" t="s">
        <v>19</v>
      </c>
      <c r="E2" s="56" t="s">
        <v>36</v>
      </c>
      <c r="F2" s="56" t="s">
        <v>38</v>
      </c>
    </row>
    <row r="3" spans="1:11" x14ac:dyDescent="0.2">
      <c r="A3" s="1">
        <v>1</v>
      </c>
      <c r="B3" s="2" t="s">
        <v>43</v>
      </c>
      <c r="C3" t="s">
        <v>44</v>
      </c>
      <c r="D3" s="18">
        <v>10000</v>
      </c>
      <c r="E3" t="s">
        <v>41</v>
      </c>
    </row>
    <row r="4" spans="1:11" x14ac:dyDescent="0.2">
      <c r="A4" s="1">
        <f>A3+1</f>
        <v>2</v>
      </c>
      <c r="B4" s="2" t="s">
        <v>43</v>
      </c>
      <c r="C4" s="57" t="s">
        <v>47</v>
      </c>
      <c r="D4" s="18">
        <f>G4/30*25000</f>
        <v>14166.666666666666</v>
      </c>
      <c r="E4" t="s">
        <v>41</v>
      </c>
      <c r="F4" s="26">
        <v>46036</v>
      </c>
      <c r="G4">
        <f>_xlfn.DAYS(H4,F4)</f>
        <v>17</v>
      </c>
      <c r="H4" s="26">
        <v>46053</v>
      </c>
    </row>
    <row r="5" spans="1:11" x14ac:dyDescent="0.2">
      <c r="A5" s="1">
        <f t="shared" ref="A5:A14" si="0">A4+1</f>
        <v>3</v>
      </c>
      <c r="B5" s="2" t="s">
        <v>43</v>
      </c>
      <c r="C5" s="57" t="s">
        <v>48</v>
      </c>
      <c r="D5" s="18">
        <f>G5/30*10000</f>
        <v>8666.6666666666661</v>
      </c>
      <c r="E5" t="s">
        <v>41</v>
      </c>
      <c r="F5" s="26">
        <v>46027</v>
      </c>
      <c r="G5">
        <f>_xlfn.DAYS(H5,F5)</f>
        <v>26</v>
      </c>
      <c r="H5" s="26">
        <v>46053</v>
      </c>
    </row>
    <row r="6" spans="1:11" x14ac:dyDescent="0.2">
      <c r="A6" s="1">
        <f t="shared" si="0"/>
        <v>4</v>
      </c>
      <c r="B6" s="2" t="s">
        <v>43</v>
      </c>
      <c r="C6" t="s">
        <v>76</v>
      </c>
      <c r="D6" s="18">
        <v>0</v>
      </c>
      <c r="E6" t="s">
        <v>41</v>
      </c>
    </row>
    <row r="7" spans="1:11" x14ac:dyDescent="0.2">
      <c r="A7" s="1">
        <f t="shared" si="0"/>
        <v>5</v>
      </c>
      <c r="B7" s="2" t="s">
        <v>43</v>
      </c>
      <c r="C7" t="s">
        <v>77</v>
      </c>
      <c r="D7" s="18">
        <f>G7/30*15000</f>
        <v>7500</v>
      </c>
      <c r="E7" t="s">
        <v>41</v>
      </c>
      <c r="F7" s="26">
        <v>46038</v>
      </c>
      <c r="G7">
        <f>_xlfn.DAYS(H7,F7)</f>
        <v>15</v>
      </c>
      <c r="H7" s="26">
        <v>46053</v>
      </c>
    </row>
    <row r="8" spans="1:11" x14ac:dyDescent="0.2">
      <c r="A8" s="1">
        <f t="shared" si="0"/>
        <v>6</v>
      </c>
      <c r="B8" t="s">
        <v>39</v>
      </c>
      <c r="C8" t="s">
        <v>78</v>
      </c>
      <c r="D8" s="23">
        <v>25000</v>
      </c>
      <c r="E8" t="s">
        <v>41</v>
      </c>
    </row>
    <row r="9" spans="1:11" x14ac:dyDescent="0.2">
      <c r="A9" s="1">
        <f t="shared" si="0"/>
        <v>7</v>
      </c>
      <c r="B9" t="s">
        <v>49</v>
      </c>
      <c r="C9" s="57" t="s">
        <v>79</v>
      </c>
      <c r="D9" s="23">
        <v>0</v>
      </c>
      <c r="E9" t="s">
        <v>41</v>
      </c>
    </row>
    <row r="10" spans="1:11" x14ac:dyDescent="0.2">
      <c r="A10" s="1">
        <f t="shared" si="0"/>
        <v>8</v>
      </c>
      <c r="B10" t="s">
        <v>49</v>
      </c>
      <c r="C10" s="57" t="s">
        <v>80</v>
      </c>
      <c r="D10" s="23"/>
      <c r="E10" t="s">
        <v>41</v>
      </c>
    </row>
    <row r="11" spans="1:11" x14ac:dyDescent="0.2">
      <c r="A11" s="1">
        <f t="shared" si="0"/>
        <v>9</v>
      </c>
      <c r="B11" t="s">
        <v>49</v>
      </c>
      <c r="C11" t="s">
        <v>50</v>
      </c>
      <c r="D11" s="18">
        <v>37500</v>
      </c>
      <c r="E11" t="s">
        <v>41</v>
      </c>
    </row>
    <row r="12" spans="1:11" x14ac:dyDescent="0.2">
      <c r="A12" s="1">
        <f t="shared" si="0"/>
        <v>10</v>
      </c>
      <c r="B12" t="s">
        <v>81</v>
      </c>
      <c r="C12" s="2" t="s">
        <v>82</v>
      </c>
      <c r="D12" s="18"/>
      <c r="E12" t="s">
        <v>41</v>
      </c>
    </row>
    <row r="13" spans="1:11" x14ac:dyDescent="0.2">
      <c r="A13" s="1">
        <f t="shared" si="0"/>
        <v>11</v>
      </c>
      <c r="B13" t="s">
        <v>56</v>
      </c>
      <c r="C13" s="2" t="s">
        <v>54</v>
      </c>
      <c r="D13" s="18">
        <v>30000</v>
      </c>
      <c r="E13" t="s">
        <v>41</v>
      </c>
    </row>
    <row r="14" spans="1:11" x14ac:dyDescent="0.2">
      <c r="A14" s="1">
        <f t="shared" si="0"/>
        <v>12</v>
      </c>
      <c r="B14" t="s">
        <v>56</v>
      </c>
      <c r="C14" s="2" t="s">
        <v>57</v>
      </c>
      <c r="D14" s="23">
        <v>40000</v>
      </c>
      <c r="E14" t="s">
        <v>58</v>
      </c>
    </row>
    <row r="15" spans="1:11" x14ac:dyDescent="0.2">
      <c r="A15" s="1"/>
      <c r="C15" s="2"/>
      <c r="D15" s="18"/>
      <c r="K15"/>
    </row>
    <row r="16" spans="1:11" x14ac:dyDescent="0.2">
      <c r="A16" s="1"/>
      <c r="C16" s="2"/>
      <c r="D16" s="18"/>
      <c r="I16" s="18"/>
    </row>
    <row r="17" spans="1:11" x14ac:dyDescent="0.2">
      <c r="A17" s="1"/>
      <c r="C17" s="2" t="s">
        <v>66</v>
      </c>
      <c r="D17" s="23">
        <f>SUM(D3:D15)</f>
        <v>172833.33333333331</v>
      </c>
      <c r="I17" s="18"/>
    </row>
    <row r="18" spans="1:11" x14ac:dyDescent="0.2">
      <c r="A18" s="1"/>
      <c r="C18" t="s">
        <v>67</v>
      </c>
      <c r="D18" s="23">
        <v>32000</v>
      </c>
      <c r="H18" s="57"/>
      <c r="I18" s="18"/>
    </row>
    <row r="19" spans="1:11" x14ac:dyDescent="0.2">
      <c r="A19" s="1"/>
      <c r="C19" t="s">
        <v>68</v>
      </c>
      <c r="D19" s="23">
        <v>18000</v>
      </c>
      <c r="H19" s="57"/>
      <c r="I19" s="18"/>
    </row>
    <row r="20" spans="1:11" x14ac:dyDescent="0.2">
      <c r="A20" s="1"/>
      <c r="C20" t="s">
        <v>69</v>
      </c>
      <c r="D20" s="99">
        <v>180000</v>
      </c>
      <c r="E20" s="30"/>
      <c r="I20" s="23"/>
    </row>
    <row r="21" spans="1:11" x14ac:dyDescent="0.2">
      <c r="A21" s="1"/>
      <c r="C21" t="s">
        <v>70</v>
      </c>
      <c r="D21" s="18">
        <v>4000</v>
      </c>
      <c r="H21" s="2"/>
      <c r="I21" s="18"/>
    </row>
    <row r="22" spans="1:11" x14ac:dyDescent="0.2">
      <c r="A22" s="1"/>
      <c r="D22" s="18"/>
      <c r="E22" s="29"/>
      <c r="I22" s="18"/>
    </row>
    <row r="23" spans="1:11" x14ac:dyDescent="0.2">
      <c r="A23" s="1"/>
      <c r="D23" s="18"/>
      <c r="E23" s="29"/>
      <c r="H23" s="2"/>
      <c r="I23" s="23"/>
    </row>
    <row r="24" spans="1:11" x14ac:dyDescent="0.2">
      <c r="A24" s="1"/>
      <c r="C24" t="s">
        <v>71</v>
      </c>
      <c r="D24" s="105">
        <f>SUM(D17:D21)</f>
        <v>406833.33333333331</v>
      </c>
      <c r="E24" s="29"/>
      <c r="F24" s="30"/>
      <c r="K24"/>
    </row>
    <row r="25" spans="1:11" x14ac:dyDescent="0.2">
      <c r="A25" s="1"/>
      <c r="C25" t="s">
        <v>72</v>
      </c>
      <c r="D25" s="91">
        <f>D24*12</f>
        <v>4882000</v>
      </c>
      <c r="K25"/>
    </row>
    <row r="26" spans="1:11" x14ac:dyDescent="0.2">
      <c r="A26" s="1"/>
      <c r="C26" t="s">
        <v>74</v>
      </c>
      <c r="D26" s="18">
        <f>D24/4</f>
        <v>101708.33333333333</v>
      </c>
    </row>
    <row r="27" spans="1:11" x14ac:dyDescent="0.2">
      <c r="F27" s="30"/>
    </row>
  </sheetData>
  <sortState xmlns:xlrd2="http://schemas.microsoft.com/office/spreadsheetml/2017/richdata2" ref="H15:K25">
    <sortCondition ref="K14:K25"/>
  </sortState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"/>
  <sheetViews>
    <sheetView workbookViewId="0">
      <selection activeCell="J20" sqref="J20"/>
    </sheetView>
  </sheetViews>
  <sheetFormatPr defaultColWidth="12.5703125" defaultRowHeight="15.75" customHeight="1" x14ac:dyDescent="0.2"/>
  <cols>
    <col min="1" max="1" width="4.28515625" style="15" customWidth="1"/>
    <col min="2" max="2" width="8.7109375" bestFit="1" customWidth="1"/>
    <col min="3" max="3" width="10.42578125" bestFit="1" customWidth="1"/>
    <col min="4" max="4" width="15.42578125" customWidth="1"/>
    <col min="5" max="5" width="10.28515625" bestFit="1" customWidth="1"/>
    <col min="6" max="6" width="17.7109375" bestFit="1" customWidth="1"/>
    <col min="7" max="7" width="7" bestFit="1" customWidth="1"/>
    <col min="8" max="8" width="11.28515625" bestFit="1" customWidth="1"/>
    <col min="9" max="9" width="17.7109375" bestFit="1" customWidth="1"/>
    <col min="10" max="10" width="8.42578125" bestFit="1" customWidth="1"/>
  </cols>
  <sheetData>
    <row r="1" spans="1:10" ht="12.75" x14ac:dyDescent="0.2">
      <c r="A1" s="45" t="s">
        <v>0</v>
      </c>
      <c r="B1" s="46" t="s">
        <v>29</v>
      </c>
      <c r="C1" s="46" t="s">
        <v>1</v>
      </c>
      <c r="D1" s="47" t="s">
        <v>83</v>
      </c>
      <c r="E1" s="47" t="s">
        <v>84</v>
      </c>
      <c r="F1" s="47" t="s">
        <v>85</v>
      </c>
      <c r="G1" s="47" t="s">
        <v>86</v>
      </c>
      <c r="H1" s="47" t="s">
        <v>83</v>
      </c>
      <c r="I1" s="47" t="s">
        <v>87</v>
      </c>
      <c r="J1" s="47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81"/>
  <sheetViews>
    <sheetView zoomScale="130" zoomScaleNormal="130" workbookViewId="0">
      <pane ySplit="1" topLeftCell="A18" activePane="bottomLeft" state="frozen"/>
      <selection pane="bottomLeft" activeCell="H74" sqref="H74"/>
    </sheetView>
  </sheetViews>
  <sheetFormatPr defaultColWidth="12.5703125" defaultRowHeight="12.75" x14ac:dyDescent="0.2"/>
  <cols>
    <col min="1" max="1" width="4.7109375" style="1" bestFit="1" customWidth="1"/>
    <col min="2" max="2" width="11" bestFit="1" customWidth="1"/>
    <col min="3" max="3" width="10.42578125" bestFit="1" customWidth="1"/>
    <col min="4" max="4" width="14.42578125" style="17" hidden="1" customWidth="1"/>
    <col min="5" max="5" width="23.7109375" style="17" bestFit="1" customWidth="1"/>
    <col min="6" max="6" width="13.28515625" style="17" bestFit="1" customWidth="1"/>
    <col min="7" max="7" width="35.5703125" style="17" bestFit="1" customWidth="1"/>
    <col min="8" max="8" width="17.7109375" style="17" bestFit="1" customWidth="1"/>
    <col min="9" max="9" width="11.28515625" bestFit="1" customWidth="1"/>
    <col min="10" max="10" width="14.42578125" bestFit="1" customWidth="1"/>
    <col min="11" max="11" width="12.28515625" style="14" bestFit="1" customWidth="1"/>
    <col min="12" max="12" width="9.28515625" style="15" bestFit="1" customWidth="1"/>
    <col min="13" max="13" width="17.28515625" bestFit="1" customWidth="1"/>
    <col min="14" max="14" width="13" bestFit="1" customWidth="1"/>
    <col min="16" max="16" width="13.85546875" bestFit="1" customWidth="1"/>
    <col min="17" max="17" width="13.42578125" bestFit="1" customWidth="1"/>
    <col min="18" max="18" width="13.28515625" bestFit="1" customWidth="1"/>
  </cols>
  <sheetData>
    <row r="1" spans="1:17" x14ac:dyDescent="0.2">
      <c r="A1" s="49" t="s">
        <v>0</v>
      </c>
      <c r="B1" s="50" t="s">
        <v>29</v>
      </c>
      <c r="C1" s="50" t="s">
        <v>1</v>
      </c>
      <c r="D1" s="60" t="s">
        <v>89</v>
      </c>
      <c r="E1" s="64" t="s">
        <v>90</v>
      </c>
      <c r="F1" s="64" t="s">
        <v>91</v>
      </c>
      <c r="G1" s="64" t="s">
        <v>92</v>
      </c>
      <c r="H1" s="64" t="s">
        <v>87</v>
      </c>
      <c r="I1" s="51" t="s">
        <v>88</v>
      </c>
      <c r="J1" s="51" t="s">
        <v>93</v>
      </c>
      <c r="K1" s="51" t="s">
        <v>84</v>
      </c>
      <c r="L1" s="65" t="s">
        <v>85</v>
      </c>
      <c r="M1" s="51" t="s">
        <v>94</v>
      </c>
      <c r="N1" s="51" t="s">
        <v>86</v>
      </c>
      <c r="P1" s="61" t="s">
        <v>95</v>
      </c>
      <c r="Q1" t="s">
        <v>96</v>
      </c>
    </row>
    <row r="2" spans="1:17" x14ac:dyDescent="0.2">
      <c r="A2" s="1">
        <v>1</v>
      </c>
      <c r="B2" t="str">
        <f t="shared" ref="B2:B33" si="0">TEXT(C2,"dddd")</f>
        <v>Monday</v>
      </c>
      <c r="C2" s="26">
        <v>45908</v>
      </c>
      <c r="D2" s="25" t="s">
        <v>97</v>
      </c>
      <c r="E2" s="63" t="s">
        <v>98</v>
      </c>
      <c r="F2" s="17" t="s">
        <v>99</v>
      </c>
      <c r="G2" s="17" t="s">
        <v>100</v>
      </c>
      <c r="H2" s="17" t="s">
        <v>101</v>
      </c>
      <c r="I2" t="s">
        <v>102</v>
      </c>
      <c r="J2" s="57" t="s">
        <v>103</v>
      </c>
      <c r="K2" s="14">
        <v>25000</v>
      </c>
      <c r="L2" s="15">
        <v>1</v>
      </c>
      <c r="M2" t="s">
        <v>22</v>
      </c>
      <c r="N2" t="s">
        <v>104</v>
      </c>
      <c r="P2" s="17" t="s">
        <v>105</v>
      </c>
      <c r="Q2" s="14">
        <v>658500</v>
      </c>
    </row>
    <row r="3" spans="1:17" x14ac:dyDescent="0.2">
      <c r="A3" s="1">
        <f t="shared" ref="A3:A34" si="1">A2+1</f>
        <v>2</v>
      </c>
      <c r="B3" t="str">
        <f t="shared" si="0"/>
        <v>Tuesday</v>
      </c>
      <c r="C3" s="26">
        <v>45916</v>
      </c>
      <c r="D3" s="25" t="s">
        <v>97</v>
      </c>
      <c r="E3" s="63" t="s">
        <v>106</v>
      </c>
      <c r="F3" s="17" t="s">
        <v>78</v>
      </c>
      <c r="G3" s="17" t="s">
        <v>107</v>
      </c>
      <c r="H3" s="17" t="s">
        <v>108</v>
      </c>
      <c r="I3" t="s">
        <v>102</v>
      </c>
      <c r="J3" t="s">
        <v>109</v>
      </c>
      <c r="K3" s="14">
        <v>30000</v>
      </c>
      <c r="L3" s="15">
        <v>1</v>
      </c>
      <c r="M3" t="s">
        <v>110</v>
      </c>
      <c r="N3" t="s">
        <v>111</v>
      </c>
      <c r="P3" s="17" t="s">
        <v>78</v>
      </c>
      <c r="Q3" s="14">
        <v>640001</v>
      </c>
    </row>
    <row r="4" spans="1:17" x14ac:dyDescent="0.2">
      <c r="A4" s="1">
        <f t="shared" si="1"/>
        <v>3</v>
      </c>
      <c r="B4" t="str">
        <f t="shared" si="0"/>
        <v>Sunday</v>
      </c>
      <c r="C4" s="26">
        <v>45921</v>
      </c>
      <c r="D4" s="25" t="s">
        <v>97</v>
      </c>
      <c r="E4" s="63" t="s">
        <v>112</v>
      </c>
      <c r="F4" s="59" t="s">
        <v>105</v>
      </c>
      <c r="G4" s="17" t="s">
        <v>112</v>
      </c>
      <c r="H4" s="17" t="s">
        <v>113</v>
      </c>
      <c r="I4" t="s">
        <v>102</v>
      </c>
      <c r="J4" t="s">
        <v>103</v>
      </c>
      <c r="K4" s="14">
        <v>20000</v>
      </c>
      <c r="L4" s="15">
        <v>1</v>
      </c>
      <c r="M4" t="s">
        <v>22</v>
      </c>
      <c r="N4" t="s">
        <v>104</v>
      </c>
      <c r="P4" s="17" t="s">
        <v>50</v>
      </c>
      <c r="Q4" s="14">
        <v>530500</v>
      </c>
    </row>
    <row r="5" spans="1:17" x14ac:dyDescent="0.2">
      <c r="A5" s="1">
        <f t="shared" si="1"/>
        <v>4</v>
      </c>
      <c r="B5" t="str">
        <f t="shared" si="0"/>
        <v>Friday</v>
      </c>
      <c r="C5" s="26">
        <v>45926</v>
      </c>
      <c r="D5" s="25" t="s">
        <v>97</v>
      </c>
      <c r="E5" s="63" t="s">
        <v>114</v>
      </c>
      <c r="F5" s="17" t="s">
        <v>99</v>
      </c>
      <c r="G5" s="17" t="s">
        <v>115</v>
      </c>
      <c r="H5" s="17" t="s">
        <v>116</v>
      </c>
      <c r="I5" t="s">
        <v>102</v>
      </c>
      <c r="J5" t="s">
        <v>117</v>
      </c>
      <c r="K5" s="14">
        <v>10000</v>
      </c>
      <c r="L5" s="15">
        <v>1</v>
      </c>
      <c r="M5" t="s">
        <v>110</v>
      </c>
      <c r="N5" t="s">
        <v>118</v>
      </c>
      <c r="P5" s="17" t="s">
        <v>99</v>
      </c>
      <c r="Q5" s="14">
        <v>321837.42</v>
      </c>
    </row>
    <row r="6" spans="1:17" x14ac:dyDescent="0.2">
      <c r="A6" s="1">
        <f t="shared" si="1"/>
        <v>5</v>
      </c>
      <c r="B6" t="str">
        <f t="shared" si="0"/>
        <v>Wednesday</v>
      </c>
      <c r="C6" s="26">
        <v>45931</v>
      </c>
      <c r="D6" s="25" t="s">
        <v>97</v>
      </c>
      <c r="E6" s="63" t="s">
        <v>119</v>
      </c>
      <c r="F6" s="17" t="s">
        <v>78</v>
      </c>
      <c r="G6" s="17" t="s">
        <v>120</v>
      </c>
      <c r="H6" s="63" t="s">
        <v>121</v>
      </c>
      <c r="I6" s="2" t="s">
        <v>102</v>
      </c>
      <c r="J6" s="14" t="s">
        <v>122</v>
      </c>
      <c r="K6" s="14">
        <v>99000</v>
      </c>
      <c r="L6" s="15">
        <v>1</v>
      </c>
      <c r="M6" t="s">
        <v>110</v>
      </c>
      <c r="N6" t="s">
        <v>123</v>
      </c>
      <c r="P6" s="17" t="s">
        <v>124</v>
      </c>
      <c r="Q6" s="14">
        <v>2150838.42</v>
      </c>
    </row>
    <row r="7" spans="1:17" x14ac:dyDescent="0.2">
      <c r="A7" s="1">
        <f t="shared" si="1"/>
        <v>6</v>
      </c>
      <c r="B7" t="str">
        <f t="shared" si="0"/>
        <v>Thursday</v>
      </c>
      <c r="C7" s="26">
        <v>45932</v>
      </c>
      <c r="D7" s="25" t="s">
        <v>97</v>
      </c>
      <c r="E7" s="63" t="s">
        <v>119</v>
      </c>
      <c r="F7" s="17" t="s">
        <v>78</v>
      </c>
      <c r="G7" s="17" t="s">
        <v>120</v>
      </c>
      <c r="H7" s="63" t="s">
        <v>121</v>
      </c>
      <c r="I7" s="2" t="s">
        <v>102</v>
      </c>
      <c r="J7" s="14" t="s">
        <v>122</v>
      </c>
      <c r="K7" s="14">
        <v>81000</v>
      </c>
      <c r="L7" s="15">
        <v>1</v>
      </c>
      <c r="M7" t="s">
        <v>110</v>
      </c>
      <c r="N7" t="s">
        <v>123</v>
      </c>
    </row>
    <row r="8" spans="1:17" x14ac:dyDescent="0.2">
      <c r="A8" s="1">
        <f t="shared" si="1"/>
        <v>7</v>
      </c>
      <c r="B8" t="str">
        <f t="shared" si="0"/>
        <v>Friday</v>
      </c>
      <c r="C8" s="26">
        <v>45933</v>
      </c>
      <c r="D8" s="25" t="s">
        <v>125</v>
      </c>
      <c r="E8" s="63" t="s">
        <v>106</v>
      </c>
      <c r="F8" s="17" t="s">
        <v>78</v>
      </c>
      <c r="G8" s="17" t="s">
        <v>107</v>
      </c>
      <c r="H8" s="17" t="s">
        <v>108</v>
      </c>
      <c r="I8" t="s">
        <v>102</v>
      </c>
      <c r="J8" t="s">
        <v>109</v>
      </c>
      <c r="K8" s="14">
        <v>30000</v>
      </c>
      <c r="L8" s="15">
        <v>1</v>
      </c>
      <c r="M8" t="s">
        <v>110</v>
      </c>
      <c r="N8" t="s">
        <v>111</v>
      </c>
    </row>
    <row r="9" spans="1:17" x14ac:dyDescent="0.2">
      <c r="A9" s="1">
        <f t="shared" si="1"/>
        <v>8</v>
      </c>
      <c r="B9" t="str">
        <f t="shared" si="0"/>
        <v>Friday</v>
      </c>
      <c r="C9" s="26">
        <v>45940</v>
      </c>
      <c r="D9" s="25" t="s">
        <v>97</v>
      </c>
      <c r="E9" s="63" t="s">
        <v>98</v>
      </c>
      <c r="F9" s="59" t="s">
        <v>78</v>
      </c>
      <c r="G9" s="17" t="s">
        <v>126</v>
      </c>
      <c r="H9" s="17" t="s">
        <v>127</v>
      </c>
      <c r="I9" t="s">
        <v>102</v>
      </c>
      <c r="J9" t="s">
        <v>128</v>
      </c>
      <c r="K9" s="14">
        <v>40000</v>
      </c>
      <c r="L9" s="15">
        <v>1</v>
      </c>
      <c r="M9" t="s">
        <v>110</v>
      </c>
      <c r="N9" t="s">
        <v>123</v>
      </c>
    </row>
    <row r="10" spans="1:17" x14ac:dyDescent="0.2">
      <c r="A10" s="1">
        <f t="shared" si="1"/>
        <v>9</v>
      </c>
      <c r="B10" t="str">
        <f t="shared" si="0"/>
        <v>Monday</v>
      </c>
      <c r="C10" s="26">
        <v>45943</v>
      </c>
      <c r="D10" s="25" t="s">
        <v>125</v>
      </c>
      <c r="E10" s="63" t="s">
        <v>98</v>
      </c>
      <c r="F10" s="17" t="s">
        <v>99</v>
      </c>
      <c r="G10" s="17" t="s">
        <v>100</v>
      </c>
      <c r="H10" s="17" t="s">
        <v>101</v>
      </c>
      <c r="I10" t="s">
        <v>102</v>
      </c>
      <c r="J10" s="57" t="s">
        <v>103</v>
      </c>
      <c r="K10" s="14">
        <v>25000</v>
      </c>
      <c r="L10" s="15">
        <v>1</v>
      </c>
      <c r="M10" t="s">
        <v>129</v>
      </c>
      <c r="N10" t="s">
        <v>129</v>
      </c>
    </row>
    <row r="11" spans="1:17" x14ac:dyDescent="0.2">
      <c r="A11" s="1">
        <f t="shared" si="1"/>
        <v>10</v>
      </c>
      <c r="B11" t="str">
        <f t="shared" si="0"/>
        <v>Tuesday</v>
      </c>
      <c r="C11" s="26">
        <v>45944</v>
      </c>
      <c r="D11" s="25" t="s">
        <v>97</v>
      </c>
      <c r="E11" s="63" t="s">
        <v>112</v>
      </c>
      <c r="F11" s="17" t="s">
        <v>99</v>
      </c>
      <c r="G11" s="17" t="s">
        <v>130</v>
      </c>
      <c r="H11" s="17" t="s">
        <v>131</v>
      </c>
      <c r="I11" t="s">
        <v>102</v>
      </c>
      <c r="J11" t="s">
        <v>132</v>
      </c>
      <c r="K11" s="14">
        <v>20000</v>
      </c>
      <c r="L11" s="15">
        <v>1</v>
      </c>
      <c r="M11" t="s">
        <v>110</v>
      </c>
      <c r="N11" t="s">
        <v>118</v>
      </c>
    </row>
    <row r="12" spans="1:17" x14ac:dyDescent="0.2">
      <c r="A12" s="1">
        <f t="shared" si="1"/>
        <v>11</v>
      </c>
      <c r="B12" t="str">
        <f t="shared" si="0"/>
        <v>Thursday</v>
      </c>
      <c r="C12" s="26">
        <v>45946</v>
      </c>
      <c r="D12" s="25" t="s">
        <v>97</v>
      </c>
      <c r="E12" s="63" t="s">
        <v>98</v>
      </c>
      <c r="F12" s="59" t="s">
        <v>105</v>
      </c>
      <c r="G12" s="63" t="s">
        <v>133</v>
      </c>
      <c r="H12" s="17" t="s">
        <v>134</v>
      </c>
      <c r="I12" t="s">
        <v>102</v>
      </c>
      <c r="J12" t="s">
        <v>128</v>
      </c>
      <c r="K12" s="14">
        <v>15000</v>
      </c>
      <c r="L12" s="15">
        <v>1</v>
      </c>
      <c r="M12" t="s">
        <v>110</v>
      </c>
      <c r="N12" t="s">
        <v>123</v>
      </c>
    </row>
    <row r="13" spans="1:17" x14ac:dyDescent="0.2">
      <c r="A13" s="1">
        <f t="shared" si="1"/>
        <v>12</v>
      </c>
      <c r="B13" t="str">
        <f t="shared" si="0"/>
        <v>Friday</v>
      </c>
      <c r="C13" s="26">
        <v>45947</v>
      </c>
      <c r="D13" s="25" t="s">
        <v>97</v>
      </c>
      <c r="E13" s="63" t="s">
        <v>98</v>
      </c>
      <c r="F13" s="59" t="s">
        <v>105</v>
      </c>
      <c r="G13" s="63" t="s">
        <v>135</v>
      </c>
      <c r="H13" s="17" t="s">
        <v>136</v>
      </c>
      <c r="I13" t="s">
        <v>102</v>
      </c>
      <c r="J13" t="s">
        <v>103</v>
      </c>
      <c r="K13" s="14">
        <v>22500</v>
      </c>
      <c r="L13" s="15">
        <v>1</v>
      </c>
      <c r="M13" t="s">
        <v>110</v>
      </c>
      <c r="N13" t="s">
        <v>123</v>
      </c>
    </row>
    <row r="14" spans="1:17" x14ac:dyDescent="0.2">
      <c r="A14" s="1">
        <f t="shared" si="1"/>
        <v>13</v>
      </c>
      <c r="B14" t="str">
        <f t="shared" si="0"/>
        <v>Friday</v>
      </c>
      <c r="C14" s="26">
        <v>45947</v>
      </c>
      <c r="D14" s="25" t="s">
        <v>97</v>
      </c>
      <c r="E14" s="63" t="s">
        <v>98</v>
      </c>
      <c r="F14" s="59" t="s">
        <v>105</v>
      </c>
      <c r="G14" s="63" t="s">
        <v>137</v>
      </c>
      <c r="H14" s="59" t="s">
        <v>138</v>
      </c>
      <c r="I14" s="57" t="s">
        <v>102</v>
      </c>
      <c r="J14" s="57" t="s">
        <v>103</v>
      </c>
      <c r="K14" s="14">
        <v>40000</v>
      </c>
      <c r="L14" s="15">
        <v>1</v>
      </c>
      <c r="M14" t="s">
        <v>110</v>
      </c>
      <c r="N14" t="s">
        <v>118</v>
      </c>
    </row>
    <row r="15" spans="1:17" x14ac:dyDescent="0.2">
      <c r="A15" s="1">
        <f t="shared" si="1"/>
        <v>14</v>
      </c>
      <c r="B15" t="str">
        <f t="shared" si="0"/>
        <v>Friday</v>
      </c>
      <c r="C15" s="26">
        <v>45954</v>
      </c>
      <c r="D15" s="25" t="s">
        <v>125</v>
      </c>
      <c r="E15" s="63" t="s">
        <v>112</v>
      </c>
      <c r="F15" s="17" t="s">
        <v>105</v>
      </c>
      <c r="G15" s="17" t="s">
        <v>112</v>
      </c>
      <c r="H15" s="17" t="s">
        <v>113</v>
      </c>
      <c r="I15" t="s">
        <v>102</v>
      </c>
      <c r="J15" t="s">
        <v>103</v>
      </c>
      <c r="K15" s="14">
        <v>20000</v>
      </c>
      <c r="L15" s="15">
        <v>1</v>
      </c>
      <c r="M15" t="s">
        <v>22</v>
      </c>
      <c r="N15" t="s">
        <v>104</v>
      </c>
    </row>
    <row r="16" spans="1:17" x14ac:dyDescent="0.2">
      <c r="A16" s="1">
        <f t="shared" si="1"/>
        <v>15</v>
      </c>
      <c r="B16" t="str">
        <f t="shared" si="0"/>
        <v>Wednesday</v>
      </c>
      <c r="C16" s="26">
        <v>45959</v>
      </c>
      <c r="D16" s="25" t="s">
        <v>97</v>
      </c>
      <c r="E16" s="63" t="s">
        <v>114</v>
      </c>
      <c r="F16" s="17" t="s">
        <v>99</v>
      </c>
      <c r="G16" s="17" t="s">
        <v>107</v>
      </c>
      <c r="H16" s="17" t="s">
        <v>108</v>
      </c>
      <c r="I16" t="s">
        <v>102</v>
      </c>
      <c r="J16" t="s">
        <v>109</v>
      </c>
      <c r="K16" s="14">
        <v>5000</v>
      </c>
      <c r="L16" s="15">
        <v>1</v>
      </c>
      <c r="M16" t="s">
        <v>110</v>
      </c>
      <c r="N16" t="s">
        <v>111</v>
      </c>
    </row>
    <row r="17" spans="1:14" x14ac:dyDescent="0.2">
      <c r="A17" s="1">
        <f t="shared" si="1"/>
        <v>16</v>
      </c>
      <c r="B17" t="str">
        <f t="shared" si="0"/>
        <v>Monday</v>
      </c>
      <c r="C17" s="26">
        <v>45964</v>
      </c>
      <c r="D17" s="25" t="s">
        <v>97</v>
      </c>
      <c r="E17" s="63" t="s">
        <v>98</v>
      </c>
      <c r="F17" s="17" t="s">
        <v>105</v>
      </c>
      <c r="G17" s="59" t="s">
        <v>139</v>
      </c>
      <c r="H17" s="63" t="s">
        <v>140</v>
      </c>
      <c r="I17" t="s">
        <v>102</v>
      </c>
      <c r="J17" s="57" t="s">
        <v>103</v>
      </c>
      <c r="K17" s="14">
        <v>11000</v>
      </c>
      <c r="L17" s="15">
        <v>1</v>
      </c>
      <c r="M17" t="s">
        <v>110</v>
      </c>
      <c r="N17" t="s">
        <v>118</v>
      </c>
    </row>
    <row r="18" spans="1:14" x14ac:dyDescent="0.2">
      <c r="A18" s="1">
        <f t="shared" si="1"/>
        <v>17</v>
      </c>
      <c r="B18" t="str">
        <f t="shared" si="0"/>
        <v>Friday</v>
      </c>
      <c r="C18" s="26">
        <v>45968</v>
      </c>
      <c r="D18" s="25" t="s">
        <v>125</v>
      </c>
      <c r="E18" s="63" t="s">
        <v>119</v>
      </c>
      <c r="F18" s="17" t="s">
        <v>78</v>
      </c>
      <c r="G18" s="17" t="s">
        <v>120</v>
      </c>
      <c r="H18" s="63" t="s">
        <v>121</v>
      </c>
      <c r="I18" s="2" t="s">
        <v>102</v>
      </c>
      <c r="J18" s="14" t="s">
        <v>122</v>
      </c>
      <c r="K18" s="14">
        <v>1</v>
      </c>
      <c r="L18" s="15">
        <v>1</v>
      </c>
      <c r="M18" t="s">
        <v>110</v>
      </c>
      <c r="N18" t="s">
        <v>123</v>
      </c>
    </row>
    <row r="19" spans="1:14" x14ac:dyDescent="0.2">
      <c r="A19" s="1">
        <f t="shared" si="1"/>
        <v>18</v>
      </c>
      <c r="B19" t="str">
        <f t="shared" si="0"/>
        <v>Friday</v>
      </c>
      <c r="C19" s="26">
        <v>45968</v>
      </c>
      <c r="D19" s="25" t="s">
        <v>125</v>
      </c>
      <c r="E19" s="63" t="s">
        <v>119</v>
      </c>
      <c r="F19" s="17" t="s">
        <v>78</v>
      </c>
      <c r="G19" s="17" t="s">
        <v>120</v>
      </c>
      <c r="H19" s="63" t="s">
        <v>121</v>
      </c>
      <c r="I19" s="2" t="s">
        <v>102</v>
      </c>
      <c r="J19" s="14" t="s">
        <v>122</v>
      </c>
      <c r="K19" s="14">
        <v>95000</v>
      </c>
      <c r="L19" s="15">
        <v>1</v>
      </c>
      <c r="M19" t="s">
        <v>110</v>
      </c>
      <c r="N19" t="s">
        <v>123</v>
      </c>
    </row>
    <row r="20" spans="1:14" x14ac:dyDescent="0.2">
      <c r="A20" s="1">
        <f t="shared" si="1"/>
        <v>19</v>
      </c>
      <c r="B20" t="str">
        <f t="shared" si="0"/>
        <v>Monday</v>
      </c>
      <c r="C20" s="26">
        <v>45971</v>
      </c>
      <c r="D20" s="25" t="s">
        <v>125</v>
      </c>
      <c r="E20" s="63" t="s">
        <v>98</v>
      </c>
      <c r="F20" s="59" t="s">
        <v>105</v>
      </c>
      <c r="G20" s="63" t="s">
        <v>133</v>
      </c>
      <c r="H20" s="17" t="s">
        <v>134</v>
      </c>
      <c r="I20" t="s">
        <v>102</v>
      </c>
      <c r="J20" t="s">
        <v>128</v>
      </c>
      <c r="K20" s="14">
        <v>24000</v>
      </c>
      <c r="L20" s="15">
        <v>1</v>
      </c>
      <c r="M20" t="s">
        <v>110</v>
      </c>
      <c r="N20" t="s">
        <v>123</v>
      </c>
    </row>
    <row r="21" spans="1:14" x14ac:dyDescent="0.2">
      <c r="A21" s="1">
        <f t="shared" si="1"/>
        <v>20</v>
      </c>
      <c r="B21" t="str">
        <f t="shared" si="0"/>
        <v>Wednesday</v>
      </c>
      <c r="C21" s="26">
        <v>45973</v>
      </c>
      <c r="D21" s="25" t="s">
        <v>125</v>
      </c>
      <c r="E21" s="63" t="s">
        <v>98</v>
      </c>
      <c r="F21" s="17" t="s">
        <v>99</v>
      </c>
      <c r="G21" s="17" t="s">
        <v>141</v>
      </c>
      <c r="H21" s="63" t="s">
        <v>101</v>
      </c>
      <c r="I21" t="s">
        <v>102</v>
      </c>
      <c r="J21" s="57" t="s">
        <v>103</v>
      </c>
      <c r="K21" s="14">
        <v>15000</v>
      </c>
      <c r="L21" s="15">
        <v>1</v>
      </c>
      <c r="M21" t="s">
        <v>22</v>
      </c>
      <c r="N21" t="s">
        <v>123</v>
      </c>
    </row>
    <row r="22" spans="1:14" x14ac:dyDescent="0.2">
      <c r="A22" s="1">
        <f t="shared" si="1"/>
        <v>21</v>
      </c>
      <c r="B22" t="str">
        <f t="shared" si="0"/>
        <v>Friday</v>
      </c>
      <c r="C22" s="26">
        <v>45975</v>
      </c>
      <c r="D22" s="25" t="s">
        <v>97</v>
      </c>
      <c r="E22" s="63" t="s">
        <v>114</v>
      </c>
      <c r="F22" s="59" t="s">
        <v>99</v>
      </c>
      <c r="G22" s="63" t="s">
        <v>142</v>
      </c>
      <c r="H22" s="63" t="s">
        <v>143</v>
      </c>
      <c r="I22" t="s">
        <v>102</v>
      </c>
      <c r="J22" t="s">
        <v>103</v>
      </c>
      <c r="K22" s="14">
        <v>7000</v>
      </c>
      <c r="L22" s="15">
        <v>1</v>
      </c>
      <c r="M22" t="s">
        <v>22</v>
      </c>
      <c r="N22" t="s">
        <v>123</v>
      </c>
    </row>
    <row r="23" spans="1:14" x14ac:dyDescent="0.2">
      <c r="A23" s="1">
        <f t="shared" si="1"/>
        <v>22</v>
      </c>
      <c r="B23" t="str">
        <f t="shared" si="0"/>
        <v>Saturday</v>
      </c>
      <c r="C23" s="26">
        <v>45976</v>
      </c>
      <c r="D23" s="25" t="s">
        <v>125</v>
      </c>
      <c r="E23" s="63" t="s">
        <v>114</v>
      </c>
      <c r="F23" s="17" t="s">
        <v>99</v>
      </c>
      <c r="G23" s="17" t="s">
        <v>107</v>
      </c>
      <c r="H23" s="63" t="s">
        <v>108</v>
      </c>
      <c r="I23" t="s">
        <v>102</v>
      </c>
      <c r="J23" t="s">
        <v>109</v>
      </c>
      <c r="K23" s="14">
        <v>7500</v>
      </c>
      <c r="L23" s="15">
        <v>1</v>
      </c>
      <c r="M23" t="s">
        <v>110</v>
      </c>
      <c r="N23" t="s">
        <v>111</v>
      </c>
    </row>
    <row r="24" spans="1:14" x14ac:dyDescent="0.2">
      <c r="A24" s="1">
        <f t="shared" si="1"/>
        <v>23</v>
      </c>
      <c r="B24" t="str">
        <f t="shared" si="0"/>
        <v>Saturday</v>
      </c>
      <c r="C24" s="26">
        <v>45976</v>
      </c>
      <c r="D24" s="25" t="s">
        <v>97</v>
      </c>
      <c r="E24" s="63" t="s">
        <v>98</v>
      </c>
      <c r="F24" s="17" t="s">
        <v>50</v>
      </c>
      <c r="G24" s="57" t="s">
        <v>144</v>
      </c>
      <c r="H24" s="17" t="s">
        <v>145</v>
      </c>
      <c r="I24" t="s">
        <v>102</v>
      </c>
      <c r="J24" s="57" t="s">
        <v>128</v>
      </c>
      <c r="K24" s="14">
        <v>30000</v>
      </c>
      <c r="L24" s="15">
        <v>1</v>
      </c>
      <c r="M24" t="s">
        <v>110</v>
      </c>
      <c r="N24" t="s">
        <v>111</v>
      </c>
    </row>
    <row r="25" spans="1:14" x14ac:dyDescent="0.2">
      <c r="A25" s="1">
        <f t="shared" si="1"/>
        <v>24</v>
      </c>
      <c r="B25" t="str">
        <f t="shared" si="0"/>
        <v>Sunday</v>
      </c>
      <c r="C25" s="26">
        <v>45977</v>
      </c>
      <c r="D25" s="25" t="s">
        <v>125</v>
      </c>
      <c r="E25" s="63" t="s">
        <v>114</v>
      </c>
      <c r="F25" s="17" t="s">
        <v>99</v>
      </c>
      <c r="G25" s="17" t="s">
        <v>115</v>
      </c>
      <c r="H25" s="63" t="s">
        <v>116</v>
      </c>
      <c r="I25" t="s">
        <v>102</v>
      </c>
      <c r="J25" t="s">
        <v>117</v>
      </c>
      <c r="K25" s="14">
        <v>5000</v>
      </c>
      <c r="L25" s="15">
        <v>1</v>
      </c>
      <c r="M25" t="s">
        <v>22</v>
      </c>
      <c r="N25" t="s">
        <v>123</v>
      </c>
    </row>
    <row r="26" spans="1:14" x14ac:dyDescent="0.2">
      <c r="A26" s="1">
        <f t="shared" si="1"/>
        <v>25</v>
      </c>
      <c r="B26" t="str">
        <f t="shared" si="0"/>
        <v>Monday</v>
      </c>
      <c r="C26" s="26">
        <v>45978</v>
      </c>
      <c r="D26" s="25" t="s">
        <v>125</v>
      </c>
      <c r="E26" s="63" t="s">
        <v>98</v>
      </c>
      <c r="F26" s="59" t="s">
        <v>78</v>
      </c>
      <c r="G26" s="59" t="s">
        <v>126</v>
      </c>
      <c r="H26" s="63" t="s">
        <v>127</v>
      </c>
      <c r="I26" t="s">
        <v>102</v>
      </c>
      <c r="J26" t="s">
        <v>128</v>
      </c>
      <c r="K26" s="14">
        <v>40000</v>
      </c>
      <c r="L26" s="15">
        <v>1</v>
      </c>
      <c r="M26" t="s">
        <v>110</v>
      </c>
      <c r="N26" t="s">
        <v>123</v>
      </c>
    </row>
    <row r="27" spans="1:14" x14ac:dyDescent="0.2">
      <c r="A27" s="1">
        <f t="shared" si="1"/>
        <v>26</v>
      </c>
      <c r="B27" t="str">
        <f t="shared" si="0"/>
        <v>Monday</v>
      </c>
      <c r="C27" s="26">
        <v>45978</v>
      </c>
      <c r="D27" s="25" t="s">
        <v>125</v>
      </c>
      <c r="E27" s="63" t="s">
        <v>119</v>
      </c>
      <c r="F27" s="17" t="s">
        <v>78</v>
      </c>
      <c r="G27" s="17" t="s">
        <v>120</v>
      </c>
      <c r="H27" s="63" t="s">
        <v>121</v>
      </c>
      <c r="I27" s="2" t="s">
        <v>102</v>
      </c>
      <c r="J27" s="14" t="s">
        <v>122</v>
      </c>
      <c r="K27" s="14">
        <v>85000</v>
      </c>
      <c r="L27" s="15">
        <v>1</v>
      </c>
      <c r="M27" t="s">
        <v>110</v>
      </c>
      <c r="N27" t="s">
        <v>123</v>
      </c>
    </row>
    <row r="28" spans="1:14" x14ac:dyDescent="0.2">
      <c r="A28" s="1">
        <f t="shared" si="1"/>
        <v>27</v>
      </c>
      <c r="B28" t="str">
        <f t="shared" si="0"/>
        <v>Wednesday</v>
      </c>
      <c r="C28" s="26">
        <v>45980</v>
      </c>
      <c r="D28" s="25" t="s">
        <v>125</v>
      </c>
      <c r="E28" s="63" t="s">
        <v>119</v>
      </c>
      <c r="F28" s="17" t="s">
        <v>78</v>
      </c>
      <c r="G28" s="17" t="s">
        <v>120</v>
      </c>
      <c r="H28" s="63" t="s">
        <v>121</v>
      </c>
      <c r="I28" s="2" t="s">
        <v>102</v>
      </c>
      <c r="J28" s="14" t="s">
        <v>122</v>
      </c>
      <c r="K28" s="14">
        <v>60000</v>
      </c>
      <c r="L28" s="15">
        <v>1</v>
      </c>
      <c r="M28" t="s">
        <v>110</v>
      </c>
      <c r="N28" t="s">
        <v>123</v>
      </c>
    </row>
    <row r="29" spans="1:14" x14ac:dyDescent="0.2">
      <c r="A29" s="1">
        <f t="shared" si="1"/>
        <v>28</v>
      </c>
      <c r="B29" t="str">
        <f t="shared" si="0"/>
        <v>Thursday</v>
      </c>
      <c r="C29" s="26">
        <v>45981</v>
      </c>
      <c r="D29" s="25" t="s">
        <v>97</v>
      </c>
      <c r="E29" s="63" t="s">
        <v>98</v>
      </c>
      <c r="F29" s="17" t="s">
        <v>105</v>
      </c>
      <c r="G29" s="17" t="s">
        <v>146</v>
      </c>
      <c r="H29" s="63" t="s">
        <v>147</v>
      </c>
      <c r="I29" t="s">
        <v>102</v>
      </c>
      <c r="J29" s="57" t="s">
        <v>148</v>
      </c>
      <c r="K29" s="14">
        <v>40000</v>
      </c>
      <c r="L29" s="15">
        <v>1</v>
      </c>
      <c r="M29" t="s">
        <v>110</v>
      </c>
      <c r="N29" t="s">
        <v>123</v>
      </c>
    </row>
    <row r="30" spans="1:14" x14ac:dyDescent="0.2">
      <c r="A30" s="1">
        <f t="shared" si="1"/>
        <v>29</v>
      </c>
      <c r="B30" t="str">
        <f t="shared" si="0"/>
        <v>Friday</v>
      </c>
      <c r="C30" s="26">
        <v>45982</v>
      </c>
      <c r="D30" s="25" t="s">
        <v>97</v>
      </c>
      <c r="E30" s="63" t="s">
        <v>98</v>
      </c>
      <c r="F30" s="17" t="s">
        <v>50</v>
      </c>
      <c r="G30" s="17" t="s">
        <v>149</v>
      </c>
      <c r="H30" s="63" t="s">
        <v>150</v>
      </c>
      <c r="I30" s="57" t="s">
        <v>102</v>
      </c>
      <c r="J30" t="s">
        <v>103</v>
      </c>
      <c r="K30" s="14">
        <v>10000</v>
      </c>
      <c r="L30" s="15">
        <v>1</v>
      </c>
      <c r="M30" t="s">
        <v>110</v>
      </c>
      <c r="N30" t="s">
        <v>104</v>
      </c>
    </row>
    <row r="31" spans="1:14" x14ac:dyDescent="0.2">
      <c r="A31" s="1">
        <f t="shared" si="1"/>
        <v>30</v>
      </c>
      <c r="B31" t="str">
        <f t="shared" si="0"/>
        <v>Friday</v>
      </c>
      <c r="C31" s="26">
        <v>45982</v>
      </c>
      <c r="D31" s="25" t="s">
        <v>125</v>
      </c>
      <c r="E31" s="63" t="s">
        <v>98</v>
      </c>
      <c r="F31" s="59" t="s">
        <v>105</v>
      </c>
      <c r="G31" s="63" t="s">
        <v>135</v>
      </c>
      <c r="H31" s="63" t="s">
        <v>136</v>
      </c>
      <c r="I31" t="s">
        <v>102</v>
      </c>
      <c r="J31" t="s">
        <v>103</v>
      </c>
      <c r="K31" s="14">
        <v>30000</v>
      </c>
      <c r="L31" s="15">
        <v>1</v>
      </c>
      <c r="M31" t="s">
        <v>110</v>
      </c>
      <c r="N31" t="s">
        <v>123</v>
      </c>
    </row>
    <row r="32" spans="1:14" x14ac:dyDescent="0.2">
      <c r="A32" s="1">
        <f t="shared" si="1"/>
        <v>31</v>
      </c>
      <c r="B32" t="str">
        <f t="shared" si="0"/>
        <v>Monday</v>
      </c>
      <c r="C32" s="69">
        <v>45985</v>
      </c>
      <c r="D32" s="25" t="s">
        <v>97</v>
      </c>
      <c r="E32" s="63" t="s">
        <v>98</v>
      </c>
      <c r="F32" s="17" t="s">
        <v>50</v>
      </c>
      <c r="G32" s="17" t="s">
        <v>149</v>
      </c>
      <c r="H32" s="63" t="s">
        <v>150</v>
      </c>
      <c r="I32" s="57" t="s">
        <v>102</v>
      </c>
      <c r="J32" t="s">
        <v>103</v>
      </c>
      <c r="K32" s="14">
        <v>10000</v>
      </c>
      <c r="L32" s="15">
        <v>1</v>
      </c>
      <c r="M32" t="s">
        <v>110</v>
      </c>
      <c r="N32" t="s">
        <v>104</v>
      </c>
    </row>
    <row r="33" spans="1:16" x14ac:dyDescent="0.2">
      <c r="A33" s="1">
        <f t="shared" si="1"/>
        <v>32</v>
      </c>
      <c r="B33" t="str">
        <f t="shared" si="0"/>
        <v>Tuesday</v>
      </c>
      <c r="C33" s="26">
        <v>45986</v>
      </c>
      <c r="D33" s="25" t="s">
        <v>97</v>
      </c>
      <c r="E33" s="63" t="s">
        <v>98</v>
      </c>
      <c r="F33" s="17" t="s">
        <v>99</v>
      </c>
      <c r="G33" s="17" t="s">
        <v>151</v>
      </c>
      <c r="H33" s="63" t="s">
        <v>152</v>
      </c>
      <c r="I33" t="s">
        <v>153</v>
      </c>
      <c r="K33" s="14">
        <v>52337.42</v>
      </c>
      <c r="L33" s="15">
        <v>1</v>
      </c>
      <c r="M33" t="s">
        <v>22</v>
      </c>
      <c r="N33" t="s">
        <v>118</v>
      </c>
    </row>
    <row r="34" spans="1:16" x14ac:dyDescent="0.2">
      <c r="A34" s="1">
        <f t="shared" si="1"/>
        <v>33</v>
      </c>
      <c r="B34" t="str">
        <f t="shared" ref="B34:B65" si="2">TEXT(C34,"dddd")</f>
        <v>Thursday</v>
      </c>
      <c r="C34" s="26">
        <v>45988</v>
      </c>
      <c r="D34" s="25" t="s">
        <v>97</v>
      </c>
      <c r="E34" s="63" t="s">
        <v>119</v>
      </c>
      <c r="F34" s="17" t="s">
        <v>105</v>
      </c>
      <c r="G34" s="17" t="s">
        <v>154</v>
      </c>
      <c r="H34" s="63" t="s">
        <v>155</v>
      </c>
      <c r="I34" t="s">
        <v>102</v>
      </c>
      <c r="J34" t="s">
        <v>117</v>
      </c>
      <c r="K34" s="14">
        <v>80000</v>
      </c>
      <c r="L34" s="15">
        <v>1</v>
      </c>
      <c r="M34" t="s">
        <v>110</v>
      </c>
      <c r="N34" t="s">
        <v>118</v>
      </c>
    </row>
    <row r="35" spans="1:16" x14ac:dyDescent="0.2">
      <c r="A35" s="1">
        <f t="shared" ref="A35:A66" si="3">A34+1</f>
        <v>34</v>
      </c>
      <c r="B35" t="str">
        <f t="shared" si="2"/>
        <v>Saturday</v>
      </c>
      <c r="C35" s="26">
        <v>45990</v>
      </c>
      <c r="D35" s="25" t="s">
        <v>97</v>
      </c>
      <c r="E35" s="63" t="s">
        <v>98</v>
      </c>
      <c r="F35" s="17" t="s">
        <v>50</v>
      </c>
      <c r="G35" s="17" t="s">
        <v>156</v>
      </c>
      <c r="H35" s="63" t="s">
        <v>157</v>
      </c>
      <c r="I35" t="s">
        <v>102</v>
      </c>
      <c r="J35" t="s">
        <v>158</v>
      </c>
      <c r="K35" s="14">
        <v>65000</v>
      </c>
      <c r="L35" s="15">
        <v>1</v>
      </c>
      <c r="M35" t="s">
        <v>110</v>
      </c>
      <c r="N35" t="s">
        <v>118</v>
      </c>
    </row>
    <row r="36" spans="1:16" x14ac:dyDescent="0.2">
      <c r="A36" s="1">
        <f t="shared" si="3"/>
        <v>35</v>
      </c>
      <c r="B36" t="str">
        <f t="shared" si="2"/>
        <v>Monday</v>
      </c>
      <c r="C36" s="26">
        <v>45992</v>
      </c>
      <c r="D36" s="25" t="s">
        <v>97</v>
      </c>
      <c r="E36" s="63" t="s">
        <v>106</v>
      </c>
      <c r="F36" s="17" t="s">
        <v>105</v>
      </c>
      <c r="G36" s="13" t="s">
        <v>159</v>
      </c>
      <c r="H36" s="63" t="s">
        <v>160</v>
      </c>
      <c r="I36" t="s">
        <v>102</v>
      </c>
      <c r="J36" s="57" t="s">
        <v>161</v>
      </c>
      <c r="K36" s="14">
        <v>32000</v>
      </c>
      <c r="L36" s="15">
        <v>1</v>
      </c>
      <c r="M36" t="s">
        <v>22</v>
      </c>
      <c r="N36" t="s">
        <v>162</v>
      </c>
      <c r="P36" s="14"/>
    </row>
    <row r="37" spans="1:16" x14ac:dyDescent="0.2">
      <c r="A37" s="1">
        <f t="shared" si="3"/>
        <v>36</v>
      </c>
      <c r="B37" t="str">
        <f t="shared" si="2"/>
        <v>Tuesday</v>
      </c>
      <c r="C37" s="26">
        <v>45993</v>
      </c>
      <c r="D37" s="25" t="s">
        <v>97</v>
      </c>
      <c r="E37" s="63" t="s">
        <v>119</v>
      </c>
      <c r="F37" s="17" t="s">
        <v>105</v>
      </c>
      <c r="G37" s="13" t="s">
        <v>163</v>
      </c>
      <c r="H37" s="63" t="s">
        <v>164</v>
      </c>
      <c r="I37" t="s">
        <v>102</v>
      </c>
      <c r="J37" s="57" t="s">
        <v>165</v>
      </c>
      <c r="K37" s="14">
        <v>40000</v>
      </c>
      <c r="L37" s="15">
        <v>1</v>
      </c>
      <c r="M37" t="s">
        <v>22</v>
      </c>
      <c r="N37" t="s">
        <v>162</v>
      </c>
      <c r="P37" s="14"/>
    </row>
    <row r="38" spans="1:16" x14ac:dyDescent="0.2">
      <c r="A38" s="1">
        <f t="shared" si="3"/>
        <v>37</v>
      </c>
      <c r="B38" t="str">
        <f t="shared" si="2"/>
        <v>Friday</v>
      </c>
      <c r="C38" s="26">
        <v>45996</v>
      </c>
      <c r="D38" s="25" t="s">
        <v>97</v>
      </c>
      <c r="E38" s="63" t="s">
        <v>98</v>
      </c>
      <c r="F38" s="17" t="s">
        <v>50</v>
      </c>
      <c r="G38" s="2" t="s">
        <v>166</v>
      </c>
      <c r="H38" s="2" t="s">
        <v>167</v>
      </c>
      <c r="I38" t="s">
        <v>102</v>
      </c>
      <c r="J38" t="s">
        <v>168</v>
      </c>
      <c r="K38" s="14">
        <v>35000</v>
      </c>
      <c r="L38" s="15">
        <v>1</v>
      </c>
      <c r="M38" t="s">
        <v>110</v>
      </c>
      <c r="N38" t="s">
        <v>118</v>
      </c>
    </row>
    <row r="39" spans="1:16" x14ac:dyDescent="0.2">
      <c r="A39" s="1">
        <f t="shared" si="3"/>
        <v>38</v>
      </c>
      <c r="B39" t="str">
        <f t="shared" si="2"/>
        <v>Friday</v>
      </c>
      <c r="C39" s="26">
        <v>45996</v>
      </c>
      <c r="D39" s="25" t="s">
        <v>125</v>
      </c>
      <c r="E39" s="63" t="s">
        <v>98</v>
      </c>
      <c r="F39" s="59" t="s">
        <v>105</v>
      </c>
      <c r="G39" s="63" t="s">
        <v>133</v>
      </c>
      <c r="H39" s="63" t="s">
        <v>134</v>
      </c>
      <c r="I39" t="s">
        <v>102</v>
      </c>
      <c r="J39" t="s">
        <v>128</v>
      </c>
      <c r="K39" s="14">
        <v>34000</v>
      </c>
      <c r="L39" s="15">
        <v>1</v>
      </c>
      <c r="M39" t="s">
        <v>110</v>
      </c>
      <c r="N39" t="s">
        <v>123</v>
      </c>
    </row>
    <row r="40" spans="1:16" x14ac:dyDescent="0.2">
      <c r="A40" s="1">
        <f t="shared" si="3"/>
        <v>39</v>
      </c>
      <c r="B40" t="str">
        <f t="shared" si="2"/>
        <v>Monday</v>
      </c>
      <c r="C40" s="26">
        <v>45999</v>
      </c>
      <c r="D40" s="25" t="s">
        <v>125</v>
      </c>
      <c r="E40" s="63" t="s">
        <v>98</v>
      </c>
      <c r="F40" s="17" t="s">
        <v>50</v>
      </c>
      <c r="G40" s="59" t="s">
        <v>144</v>
      </c>
      <c r="H40" s="63" t="s">
        <v>145</v>
      </c>
      <c r="I40" t="s">
        <v>102</v>
      </c>
      <c r="J40" s="57" t="s">
        <v>128</v>
      </c>
      <c r="K40" s="14">
        <v>45000</v>
      </c>
      <c r="L40" s="15">
        <v>1</v>
      </c>
      <c r="M40" t="s">
        <v>110</v>
      </c>
      <c r="N40" t="s">
        <v>111</v>
      </c>
    </row>
    <row r="41" spans="1:16" x14ac:dyDescent="0.2">
      <c r="A41" s="1">
        <f t="shared" si="3"/>
        <v>40</v>
      </c>
      <c r="B41" t="str">
        <f t="shared" si="2"/>
        <v>Tuesday</v>
      </c>
      <c r="C41" s="26">
        <v>46000</v>
      </c>
      <c r="D41" s="25" t="s">
        <v>125</v>
      </c>
      <c r="E41" s="63" t="s">
        <v>98</v>
      </c>
      <c r="F41" s="17" t="s">
        <v>105</v>
      </c>
      <c r="G41" s="17" t="s">
        <v>146</v>
      </c>
      <c r="H41" s="63" t="s">
        <v>147</v>
      </c>
      <c r="I41" t="s">
        <v>102</v>
      </c>
      <c r="J41" s="57" t="s">
        <v>148</v>
      </c>
      <c r="K41" s="14">
        <v>40000</v>
      </c>
      <c r="L41" s="15">
        <v>1</v>
      </c>
      <c r="M41" t="s">
        <v>110</v>
      </c>
      <c r="N41" t="s">
        <v>123</v>
      </c>
    </row>
    <row r="42" spans="1:16" x14ac:dyDescent="0.2">
      <c r="A42" s="1">
        <f t="shared" si="3"/>
        <v>41</v>
      </c>
      <c r="B42" t="str">
        <f t="shared" si="2"/>
        <v>Thursday</v>
      </c>
      <c r="C42" s="26">
        <v>46002</v>
      </c>
      <c r="D42" s="25" t="s">
        <v>125</v>
      </c>
      <c r="E42" s="63" t="s">
        <v>114</v>
      </c>
      <c r="F42" s="17" t="s">
        <v>99</v>
      </c>
      <c r="G42" s="17" t="s">
        <v>115</v>
      </c>
      <c r="H42" s="63" t="s">
        <v>116</v>
      </c>
      <c r="I42" t="s">
        <v>102</v>
      </c>
      <c r="J42" t="s">
        <v>117</v>
      </c>
      <c r="K42" s="14">
        <v>10000</v>
      </c>
      <c r="L42" s="15">
        <v>1</v>
      </c>
      <c r="M42" t="s">
        <v>110</v>
      </c>
      <c r="N42" t="s">
        <v>123</v>
      </c>
    </row>
    <row r="43" spans="1:16" x14ac:dyDescent="0.2">
      <c r="A43" s="1">
        <f t="shared" si="3"/>
        <v>42</v>
      </c>
      <c r="B43" t="str">
        <f t="shared" si="2"/>
        <v>Thursday</v>
      </c>
      <c r="C43" s="26">
        <v>46002</v>
      </c>
      <c r="D43" s="25" t="s">
        <v>97</v>
      </c>
      <c r="E43" s="63" t="s">
        <v>98</v>
      </c>
      <c r="F43" s="17" t="s">
        <v>50</v>
      </c>
      <c r="G43" s="63" t="s">
        <v>169</v>
      </c>
      <c r="H43" s="63" t="s">
        <v>170</v>
      </c>
      <c r="I43" t="s">
        <v>102</v>
      </c>
      <c r="J43" t="s">
        <v>128</v>
      </c>
      <c r="K43" s="14">
        <v>16500</v>
      </c>
      <c r="L43" s="15">
        <v>1</v>
      </c>
      <c r="M43" t="s">
        <v>110</v>
      </c>
      <c r="N43" t="s">
        <v>118</v>
      </c>
    </row>
    <row r="44" spans="1:16" x14ac:dyDescent="0.2">
      <c r="A44" s="1">
        <f t="shared" si="3"/>
        <v>43</v>
      </c>
      <c r="B44" t="str">
        <f t="shared" si="2"/>
        <v>Monday</v>
      </c>
      <c r="C44" s="26">
        <v>46006</v>
      </c>
      <c r="D44" s="25" t="s">
        <v>97</v>
      </c>
      <c r="E44" s="63" t="s">
        <v>98</v>
      </c>
      <c r="F44" s="17" t="s">
        <v>105</v>
      </c>
      <c r="G44" s="17" t="s">
        <v>171</v>
      </c>
      <c r="H44" s="63" t="s">
        <v>172</v>
      </c>
      <c r="I44" t="s">
        <v>102</v>
      </c>
      <c r="J44" t="s">
        <v>173</v>
      </c>
      <c r="K44" s="14">
        <v>50000</v>
      </c>
      <c r="L44" s="15">
        <v>1</v>
      </c>
      <c r="M44" t="s">
        <v>110</v>
      </c>
      <c r="N44" t="s">
        <v>118</v>
      </c>
    </row>
    <row r="45" spans="1:16" x14ac:dyDescent="0.2">
      <c r="A45" s="1">
        <f t="shared" si="3"/>
        <v>44</v>
      </c>
      <c r="B45" t="str">
        <f t="shared" si="2"/>
        <v>Tuesday</v>
      </c>
      <c r="C45" s="26">
        <v>46007</v>
      </c>
      <c r="D45" s="25" t="s">
        <v>125</v>
      </c>
      <c r="E45" s="63" t="s">
        <v>98</v>
      </c>
      <c r="F45" s="59" t="s">
        <v>105</v>
      </c>
      <c r="G45" s="63" t="s">
        <v>137</v>
      </c>
      <c r="H45" s="63" t="s">
        <v>138</v>
      </c>
      <c r="I45" s="57" t="s">
        <v>102</v>
      </c>
      <c r="J45" s="57" t="s">
        <v>103</v>
      </c>
      <c r="K45" s="14">
        <v>30000</v>
      </c>
      <c r="L45" s="15">
        <v>1</v>
      </c>
      <c r="M45" t="s">
        <v>110</v>
      </c>
      <c r="N45" t="s">
        <v>118</v>
      </c>
    </row>
    <row r="46" spans="1:16" x14ac:dyDescent="0.2">
      <c r="A46" s="1">
        <f t="shared" si="3"/>
        <v>45</v>
      </c>
      <c r="B46" t="str">
        <f t="shared" si="2"/>
        <v>Tuesday</v>
      </c>
      <c r="C46" s="26">
        <v>46007</v>
      </c>
      <c r="D46" s="25" t="s">
        <v>97</v>
      </c>
      <c r="E46" s="63" t="s">
        <v>114</v>
      </c>
      <c r="F46" s="17" t="s">
        <v>99</v>
      </c>
      <c r="G46" s="57" t="s">
        <v>174</v>
      </c>
      <c r="H46" s="57" t="s">
        <v>175</v>
      </c>
      <c r="I46" t="s">
        <v>102</v>
      </c>
      <c r="J46" t="s">
        <v>176</v>
      </c>
      <c r="K46" s="14">
        <v>15000</v>
      </c>
      <c r="L46" s="15">
        <v>1</v>
      </c>
      <c r="M46" t="s">
        <v>25</v>
      </c>
      <c r="N46" t="s">
        <v>123</v>
      </c>
    </row>
    <row r="47" spans="1:16" x14ac:dyDescent="0.2">
      <c r="A47" s="1">
        <f t="shared" si="3"/>
        <v>46</v>
      </c>
      <c r="B47" t="str">
        <f t="shared" si="2"/>
        <v>Thursday</v>
      </c>
      <c r="C47" s="26">
        <v>46009</v>
      </c>
      <c r="D47" s="25" t="s">
        <v>97</v>
      </c>
      <c r="E47" s="63" t="s">
        <v>98</v>
      </c>
      <c r="F47" s="17" t="s">
        <v>50</v>
      </c>
      <c r="G47" s="63" t="s">
        <v>169</v>
      </c>
      <c r="H47" s="63" t="s">
        <v>170</v>
      </c>
      <c r="I47" t="s">
        <v>102</v>
      </c>
      <c r="J47" t="s">
        <v>128</v>
      </c>
      <c r="K47" s="14">
        <v>49500</v>
      </c>
      <c r="L47" s="15">
        <v>1</v>
      </c>
      <c r="M47" t="s">
        <v>110</v>
      </c>
      <c r="N47" t="s">
        <v>118</v>
      </c>
    </row>
    <row r="48" spans="1:16" x14ac:dyDescent="0.2">
      <c r="A48" s="1">
        <f t="shared" si="3"/>
        <v>47</v>
      </c>
      <c r="B48" t="str">
        <f t="shared" si="2"/>
        <v>Thursday</v>
      </c>
      <c r="C48" s="26">
        <v>46009</v>
      </c>
      <c r="D48" s="25" t="s">
        <v>97</v>
      </c>
      <c r="E48" s="63" t="s">
        <v>119</v>
      </c>
      <c r="F48" s="17" t="s">
        <v>105</v>
      </c>
      <c r="G48" s="13" t="s">
        <v>163</v>
      </c>
      <c r="H48" s="63" t="s">
        <v>164</v>
      </c>
      <c r="I48" t="s">
        <v>102</v>
      </c>
      <c r="J48" s="57" t="s">
        <v>165</v>
      </c>
      <c r="K48" s="14">
        <v>30000</v>
      </c>
      <c r="L48" s="15">
        <v>1</v>
      </c>
      <c r="M48" t="s">
        <v>22</v>
      </c>
      <c r="N48" t="s">
        <v>111</v>
      </c>
    </row>
    <row r="49" spans="1:14" x14ac:dyDescent="0.2">
      <c r="A49" s="1">
        <f t="shared" si="3"/>
        <v>48</v>
      </c>
      <c r="B49" t="str">
        <f t="shared" si="2"/>
        <v>Saturday</v>
      </c>
      <c r="C49" s="26">
        <v>46011</v>
      </c>
      <c r="D49" s="25" t="s">
        <v>97</v>
      </c>
      <c r="E49" s="63" t="s">
        <v>98</v>
      </c>
      <c r="F49" s="17" t="s">
        <v>50</v>
      </c>
      <c r="G49" s="17" t="s">
        <v>156</v>
      </c>
      <c r="H49" s="63" t="s">
        <v>157</v>
      </c>
      <c r="I49" t="s">
        <v>102</v>
      </c>
      <c r="J49" t="s">
        <v>158</v>
      </c>
      <c r="K49" s="14">
        <v>140000</v>
      </c>
      <c r="L49" s="15">
        <v>1</v>
      </c>
      <c r="M49" t="s">
        <v>110</v>
      </c>
      <c r="N49" t="s">
        <v>118</v>
      </c>
    </row>
    <row r="50" spans="1:14" x14ac:dyDescent="0.2">
      <c r="A50" s="1">
        <f t="shared" si="3"/>
        <v>49</v>
      </c>
      <c r="B50" t="str">
        <f t="shared" si="2"/>
        <v>Friday</v>
      </c>
      <c r="C50" s="26">
        <v>46017</v>
      </c>
      <c r="D50" s="25" t="s">
        <v>125</v>
      </c>
      <c r="E50" s="63" t="s">
        <v>98</v>
      </c>
      <c r="F50" s="17" t="s">
        <v>50</v>
      </c>
      <c r="G50" s="17" t="s">
        <v>149</v>
      </c>
      <c r="H50" s="63" t="s">
        <v>150</v>
      </c>
      <c r="I50" s="57" t="s">
        <v>102</v>
      </c>
      <c r="J50" t="s">
        <v>103</v>
      </c>
      <c r="K50" s="14">
        <v>10000</v>
      </c>
      <c r="L50" s="15">
        <v>1</v>
      </c>
      <c r="M50" t="s">
        <v>110</v>
      </c>
      <c r="N50" t="s">
        <v>118</v>
      </c>
    </row>
    <row r="51" spans="1:14" x14ac:dyDescent="0.2">
      <c r="A51" s="1">
        <f t="shared" si="3"/>
        <v>50</v>
      </c>
      <c r="B51" t="str">
        <f t="shared" si="2"/>
        <v>Monday</v>
      </c>
      <c r="C51" s="26">
        <v>46020</v>
      </c>
      <c r="D51" s="25" t="s">
        <v>97</v>
      </c>
      <c r="E51" s="63" t="s">
        <v>98</v>
      </c>
      <c r="F51" s="17" t="s">
        <v>105</v>
      </c>
      <c r="G51" s="17" t="s">
        <v>177</v>
      </c>
      <c r="H51" s="63" t="s">
        <v>178</v>
      </c>
      <c r="I51" t="s">
        <v>102</v>
      </c>
      <c r="J51" t="s">
        <v>109</v>
      </c>
      <c r="K51" s="14">
        <v>10000</v>
      </c>
      <c r="L51" s="15">
        <v>1</v>
      </c>
      <c r="M51" t="s">
        <v>110</v>
      </c>
      <c r="N51" t="s">
        <v>118</v>
      </c>
    </row>
    <row r="52" spans="1:14" x14ac:dyDescent="0.2">
      <c r="A52" s="1">
        <f t="shared" si="3"/>
        <v>51</v>
      </c>
      <c r="B52" t="str">
        <f t="shared" si="2"/>
        <v>Thursday</v>
      </c>
      <c r="C52" s="26">
        <v>46030</v>
      </c>
      <c r="D52" s="25" t="s">
        <v>125</v>
      </c>
      <c r="E52" s="63" t="s">
        <v>119</v>
      </c>
      <c r="F52" s="17" t="s">
        <v>105</v>
      </c>
      <c r="G52" s="17" t="s">
        <v>154</v>
      </c>
      <c r="H52" s="63" t="s">
        <v>155</v>
      </c>
      <c r="I52" t="s">
        <v>102</v>
      </c>
      <c r="J52" t="s">
        <v>117</v>
      </c>
      <c r="K52" s="14">
        <v>60000</v>
      </c>
      <c r="L52" s="15">
        <v>1</v>
      </c>
      <c r="M52" t="s">
        <v>110</v>
      </c>
      <c r="N52" t="s">
        <v>118</v>
      </c>
    </row>
    <row r="53" spans="1:14" x14ac:dyDescent="0.2">
      <c r="A53" s="1">
        <f t="shared" si="3"/>
        <v>52</v>
      </c>
      <c r="B53" t="str">
        <f t="shared" si="2"/>
        <v>Friday</v>
      </c>
      <c r="C53" s="26">
        <v>46031</v>
      </c>
      <c r="D53" s="25" t="s">
        <v>125</v>
      </c>
      <c r="E53" s="63" t="s">
        <v>98</v>
      </c>
      <c r="F53" s="17" t="s">
        <v>50</v>
      </c>
      <c r="G53" s="17" t="s">
        <v>149</v>
      </c>
      <c r="H53" s="63" t="s">
        <v>150</v>
      </c>
      <c r="I53" s="57" t="s">
        <v>102</v>
      </c>
      <c r="J53" t="s">
        <v>103</v>
      </c>
      <c r="K53" s="14">
        <v>20000</v>
      </c>
      <c r="L53" s="15">
        <v>1</v>
      </c>
      <c r="M53" t="s">
        <v>110</v>
      </c>
      <c r="N53" t="s">
        <v>118</v>
      </c>
    </row>
    <row r="54" spans="1:14" x14ac:dyDescent="0.2">
      <c r="A54" s="1">
        <f t="shared" si="3"/>
        <v>53</v>
      </c>
      <c r="B54" t="str">
        <f t="shared" si="2"/>
        <v>Monday</v>
      </c>
      <c r="C54" s="26">
        <v>46034</v>
      </c>
      <c r="D54" s="25" t="s">
        <v>97</v>
      </c>
      <c r="E54" s="63" t="s">
        <v>98</v>
      </c>
      <c r="F54" s="17" t="s">
        <v>50</v>
      </c>
      <c r="G54" s="17" t="s">
        <v>179</v>
      </c>
      <c r="H54" s="63" t="s">
        <v>180</v>
      </c>
      <c r="I54" t="s">
        <v>102</v>
      </c>
      <c r="J54" t="s">
        <v>181</v>
      </c>
      <c r="K54" s="14">
        <v>10000</v>
      </c>
      <c r="L54" s="15">
        <v>1</v>
      </c>
      <c r="M54" t="s">
        <v>110</v>
      </c>
      <c r="N54" t="s">
        <v>118</v>
      </c>
    </row>
    <row r="55" spans="1:14" x14ac:dyDescent="0.2">
      <c r="A55" s="1">
        <f t="shared" si="3"/>
        <v>54</v>
      </c>
      <c r="B55" t="str">
        <f t="shared" si="2"/>
        <v>Tuesday</v>
      </c>
      <c r="C55" s="26">
        <v>46035</v>
      </c>
      <c r="D55" s="25" t="s">
        <v>125</v>
      </c>
      <c r="E55" s="63" t="s">
        <v>98</v>
      </c>
      <c r="F55" s="17" t="s">
        <v>50</v>
      </c>
      <c r="G55" s="63" t="s">
        <v>169</v>
      </c>
      <c r="H55" s="63" t="s">
        <v>170</v>
      </c>
      <c r="I55" t="s">
        <v>102</v>
      </c>
      <c r="J55" t="s">
        <v>128</v>
      </c>
      <c r="K55" s="14">
        <v>49500</v>
      </c>
      <c r="L55" s="15">
        <v>1</v>
      </c>
      <c r="M55" t="s">
        <v>110</v>
      </c>
      <c r="N55" t="s">
        <v>118</v>
      </c>
    </row>
    <row r="56" spans="1:14" x14ac:dyDescent="0.2">
      <c r="A56" s="1">
        <f t="shared" si="3"/>
        <v>55</v>
      </c>
      <c r="B56" t="str">
        <f t="shared" si="2"/>
        <v>Thursday</v>
      </c>
      <c r="C56" s="26">
        <v>46037</v>
      </c>
      <c r="D56" s="25" t="s">
        <v>125</v>
      </c>
      <c r="E56" s="63" t="s">
        <v>119</v>
      </c>
      <c r="F56" s="17" t="s">
        <v>105</v>
      </c>
      <c r="G56" s="13" t="s">
        <v>163</v>
      </c>
      <c r="H56" s="63" t="s">
        <v>164</v>
      </c>
      <c r="I56" t="s">
        <v>102</v>
      </c>
      <c r="J56" s="57" t="s">
        <v>165</v>
      </c>
      <c r="K56" s="14">
        <v>30000</v>
      </c>
      <c r="L56" s="15">
        <v>1</v>
      </c>
      <c r="M56" t="s">
        <v>25</v>
      </c>
      <c r="N56" t="s">
        <v>123</v>
      </c>
    </row>
    <row r="57" spans="1:14" x14ac:dyDescent="0.2">
      <c r="A57" s="1">
        <f t="shared" si="3"/>
        <v>56</v>
      </c>
      <c r="B57" t="str">
        <f t="shared" si="2"/>
        <v>Thursday</v>
      </c>
      <c r="C57" s="26">
        <v>46037</v>
      </c>
      <c r="D57" s="25" t="s">
        <v>125</v>
      </c>
      <c r="E57" s="63" t="s">
        <v>98</v>
      </c>
      <c r="F57" s="59" t="s">
        <v>78</v>
      </c>
      <c r="G57" s="59" t="s">
        <v>126</v>
      </c>
      <c r="H57" s="63" t="s">
        <v>127</v>
      </c>
      <c r="I57" t="s">
        <v>102</v>
      </c>
      <c r="J57" t="s">
        <v>128</v>
      </c>
      <c r="K57" s="14">
        <v>40000</v>
      </c>
      <c r="L57" s="15">
        <v>1</v>
      </c>
      <c r="M57" t="s">
        <v>110</v>
      </c>
      <c r="N57" t="s">
        <v>123</v>
      </c>
    </row>
    <row r="58" spans="1:14" x14ac:dyDescent="0.2">
      <c r="A58" s="1">
        <f t="shared" si="3"/>
        <v>57</v>
      </c>
      <c r="B58" t="str">
        <f t="shared" si="2"/>
        <v>Tuesday</v>
      </c>
      <c r="C58" s="26">
        <v>46042</v>
      </c>
      <c r="D58" s="25" t="s">
        <v>97</v>
      </c>
      <c r="E58" s="63" t="s">
        <v>98</v>
      </c>
      <c r="F58" s="17" t="s">
        <v>50</v>
      </c>
      <c r="G58" s="17" t="s">
        <v>179</v>
      </c>
      <c r="H58" s="63" t="s">
        <v>180</v>
      </c>
      <c r="I58" t="s">
        <v>102</v>
      </c>
      <c r="J58" t="s">
        <v>181</v>
      </c>
      <c r="K58" s="14">
        <v>10000</v>
      </c>
      <c r="L58" s="15">
        <v>1</v>
      </c>
      <c r="M58" t="s">
        <v>110</v>
      </c>
      <c r="N58" t="s">
        <v>118</v>
      </c>
    </row>
    <row r="59" spans="1:14" x14ac:dyDescent="0.2">
      <c r="A59" s="1">
        <f t="shared" si="3"/>
        <v>58</v>
      </c>
      <c r="B59" t="str">
        <f t="shared" si="2"/>
        <v>Saturday</v>
      </c>
      <c r="C59" s="26">
        <v>46046</v>
      </c>
      <c r="D59" s="25"/>
      <c r="E59" s="63" t="s">
        <v>98</v>
      </c>
      <c r="F59" s="17" t="s">
        <v>99</v>
      </c>
      <c r="G59" s="17" t="s">
        <v>141</v>
      </c>
      <c r="H59" s="63" t="s">
        <v>101</v>
      </c>
      <c r="I59" t="s">
        <v>102</v>
      </c>
      <c r="J59" s="57" t="s">
        <v>103</v>
      </c>
      <c r="K59" s="14">
        <v>15000</v>
      </c>
      <c r="L59" s="15">
        <v>1</v>
      </c>
      <c r="M59" t="s">
        <v>22</v>
      </c>
      <c r="N59" t="s">
        <v>123</v>
      </c>
    </row>
    <row r="60" spans="1:14" x14ac:dyDescent="0.2">
      <c r="A60" s="1">
        <f t="shared" si="3"/>
        <v>59</v>
      </c>
      <c r="B60" t="str">
        <f t="shared" si="2"/>
        <v>Tuesday</v>
      </c>
      <c r="C60" s="26">
        <v>46049</v>
      </c>
      <c r="D60" s="25" t="s">
        <v>125</v>
      </c>
      <c r="E60" s="63" t="s">
        <v>98</v>
      </c>
      <c r="F60" s="59" t="s">
        <v>78</v>
      </c>
      <c r="G60" s="59" t="s">
        <v>126</v>
      </c>
      <c r="H60" s="63" t="s">
        <v>127</v>
      </c>
      <c r="I60" t="s">
        <v>102</v>
      </c>
      <c r="J60" t="s">
        <v>128</v>
      </c>
      <c r="K60" s="14">
        <v>40000</v>
      </c>
      <c r="L60" s="15">
        <v>1</v>
      </c>
      <c r="M60" t="s">
        <v>182</v>
      </c>
      <c r="N60" t="s">
        <v>123</v>
      </c>
    </row>
    <row r="61" spans="1:14" x14ac:dyDescent="0.2">
      <c r="A61" s="1">
        <f t="shared" si="3"/>
        <v>60</v>
      </c>
      <c r="B61" t="str">
        <f t="shared" si="2"/>
        <v>Tuesday</v>
      </c>
      <c r="C61" s="26">
        <v>46049</v>
      </c>
      <c r="D61" s="25" t="s">
        <v>125</v>
      </c>
      <c r="E61" s="63" t="s">
        <v>114</v>
      </c>
      <c r="F61" s="59" t="s">
        <v>99</v>
      </c>
      <c r="G61" s="59" t="s">
        <v>183</v>
      </c>
      <c r="H61" s="63" t="s">
        <v>127</v>
      </c>
      <c r="I61" t="s">
        <v>102</v>
      </c>
      <c r="J61" t="s">
        <v>128</v>
      </c>
      <c r="K61" s="14">
        <v>10000</v>
      </c>
      <c r="L61" s="15">
        <v>1</v>
      </c>
      <c r="M61" t="s">
        <v>182</v>
      </c>
      <c r="N61" t="s">
        <v>123</v>
      </c>
    </row>
    <row r="62" spans="1:14" x14ac:dyDescent="0.2">
      <c r="A62" s="1">
        <f t="shared" si="3"/>
        <v>61</v>
      </c>
      <c r="B62" t="str">
        <f t="shared" si="2"/>
        <v>Monday</v>
      </c>
      <c r="C62" s="26">
        <v>46055</v>
      </c>
      <c r="D62" s="25" t="s">
        <v>125</v>
      </c>
      <c r="E62" s="63" t="s">
        <v>119</v>
      </c>
      <c r="F62" s="17" t="s">
        <v>99</v>
      </c>
      <c r="G62" s="2" t="s">
        <v>184</v>
      </c>
      <c r="H62" s="63" t="s">
        <v>155</v>
      </c>
      <c r="I62" t="s">
        <v>102</v>
      </c>
      <c r="J62" t="s">
        <v>117</v>
      </c>
      <c r="K62" s="14">
        <v>25000</v>
      </c>
      <c r="L62" s="15">
        <v>1</v>
      </c>
      <c r="M62" t="s">
        <v>185</v>
      </c>
      <c r="N62" t="s">
        <v>118</v>
      </c>
    </row>
    <row r="63" spans="1:14" x14ac:dyDescent="0.2">
      <c r="A63" s="1">
        <f t="shared" si="3"/>
        <v>62</v>
      </c>
      <c r="B63" t="str">
        <f t="shared" si="2"/>
        <v>Monday</v>
      </c>
      <c r="C63" s="26">
        <v>46055</v>
      </c>
      <c r="D63" s="25"/>
      <c r="E63" s="63" t="s">
        <v>119</v>
      </c>
      <c r="F63" s="17" t="s">
        <v>99</v>
      </c>
      <c r="G63" s="17" t="s">
        <v>186</v>
      </c>
      <c r="H63" s="63" t="s">
        <v>187</v>
      </c>
      <c r="I63" t="s">
        <v>102</v>
      </c>
      <c r="J63" t="s">
        <v>188</v>
      </c>
      <c r="K63" s="14">
        <v>50000</v>
      </c>
      <c r="L63" s="15">
        <v>1</v>
      </c>
      <c r="M63" t="s">
        <v>185</v>
      </c>
      <c r="N63" t="s">
        <v>118</v>
      </c>
    </row>
    <row r="64" spans="1:14" x14ac:dyDescent="0.2">
      <c r="A64" s="1">
        <f t="shared" si="3"/>
        <v>63</v>
      </c>
      <c r="B64" t="str">
        <f t="shared" si="2"/>
        <v>Friday</v>
      </c>
      <c r="C64" s="26">
        <v>46059</v>
      </c>
      <c r="D64" s="25"/>
      <c r="E64" s="63" t="s">
        <v>114</v>
      </c>
      <c r="F64" s="17" t="s">
        <v>99</v>
      </c>
      <c r="G64" s="59" t="s">
        <v>189</v>
      </c>
      <c r="H64" s="63" t="s">
        <v>131</v>
      </c>
      <c r="I64" t="s">
        <v>102</v>
      </c>
      <c r="J64" t="s">
        <v>132</v>
      </c>
      <c r="K64" s="14">
        <v>25000</v>
      </c>
      <c r="L64" s="15">
        <v>1</v>
      </c>
      <c r="M64" t="s">
        <v>185</v>
      </c>
      <c r="N64" t="s">
        <v>123</v>
      </c>
    </row>
    <row r="65" spans="1:14" x14ac:dyDescent="0.2">
      <c r="A65" s="1">
        <f t="shared" si="3"/>
        <v>64</v>
      </c>
      <c r="B65" t="str">
        <f t="shared" si="2"/>
        <v>Saturday</v>
      </c>
      <c r="C65" s="26">
        <v>46060</v>
      </c>
      <c r="D65" s="25" t="s">
        <v>97</v>
      </c>
      <c r="E65" s="63" t="s">
        <v>98</v>
      </c>
      <c r="F65" s="17" t="s">
        <v>50</v>
      </c>
      <c r="G65" s="17" t="s">
        <v>179</v>
      </c>
      <c r="H65" s="63" t="s">
        <v>180</v>
      </c>
      <c r="I65" t="s">
        <v>102</v>
      </c>
      <c r="J65" t="s">
        <v>181</v>
      </c>
      <c r="K65" s="14">
        <v>30000</v>
      </c>
      <c r="L65" s="15">
        <v>1</v>
      </c>
      <c r="M65" t="s">
        <v>185</v>
      </c>
      <c r="N65" t="s">
        <v>118</v>
      </c>
    </row>
    <row r="66" spans="1:14" x14ac:dyDescent="0.2">
      <c r="A66" s="1">
        <f t="shared" si="3"/>
        <v>65</v>
      </c>
      <c r="B66" t="str">
        <f t="shared" ref="B66:B76" si="4">TEXT(C66,"dddd")</f>
        <v>Tuesday</v>
      </c>
      <c r="C66" s="26">
        <v>46063</v>
      </c>
      <c r="D66" s="25" t="s">
        <v>97</v>
      </c>
      <c r="E66" s="63" t="s">
        <v>98</v>
      </c>
      <c r="F66" s="17" t="s">
        <v>99</v>
      </c>
      <c r="G66" s="17" t="s">
        <v>151</v>
      </c>
      <c r="H66" s="63" t="s">
        <v>152</v>
      </c>
      <c r="I66" t="s">
        <v>153</v>
      </c>
      <c r="K66" s="14">
        <v>89773.9</v>
      </c>
      <c r="L66" s="15">
        <v>1</v>
      </c>
      <c r="M66" t="s">
        <v>22</v>
      </c>
      <c r="N66" t="s">
        <v>118</v>
      </c>
    </row>
    <row r="67" spans="1:14" x14ac:dyDescent="0.2">
      <c r="A67" s="1">
        <f t="shared" ref="A67:A76" si="5">A66+1</f>
        <v>66</v>
      </c>
      <c r="B67" t="str">
        <f t="shared" si="4"/>
        <v>Wednesday</v>
      </c>
      <c r="C67" s="26">
        <v>46064</v>
      </c>
      <c r="D67" s="25" t="s">
        <v>125</v>
      </c>
      <c r="E67" s="63" t="s">
        <v>98</v>
      </c>
      <c r="F67" s="17" t="s">
        <v>105</v>
      </c>
      <c r="G67" s="17" t="s">
        <v>146</v>
      </c>
      <c r="H67" s="63" t="s">
        <v>147</v>
      </c>
      <c r="I67" t="s">
        <v>102</v>
      </c>
      <c r="J67" s="57" t="s">
        <v>148</v>
      </c>
      <c r="K67" s="14">
        <v>40000</v>
      </c>
      <c r="L67" s="15">
        <v>1</v>
      </c>
      <c r="M67" t="s">
        <v>185</v>
      </c>
      <c r="N67" t="s">
        <v>123</v>
      </c>
    </row>
    <row r="68" spans="1:14" x14ac:dyDescent="0.2">
      <c r="A68" s="1">
        <f t="shared" si="5"/>
        <v>67</v>
      </c>
      <c r="B68" t="str">
        <f t="shared" si="4"/>
        <v>Friday</v>
      </c>
      <c r="C68" s="26">
        <v>46066</v>
      </c>
      <c r="D68" s="25"/>
      <c r="E68" s="63" t="s">
        <v>119</v>
      </c>
      <c r="F68" s="17" t="s">
        <v>99</v>
      </c>
      <c r="G68" s="17" t="s">
        <v>186</v>
      </c>
      <c r="H68" s="63" t="s">
        <v>187</v>
      </c>
      <c r="I68" t="s">
        <v>102</v>
      </c>
      <c r="J68" t="s">
        <v>188</v>
      </c>
      <c r="K68" s="14">
        <v>50000</v>
      </c>
      <c r="L68" s="15">
        <v>1</v>
      </c>
      <c r="M68" t="s">
        <v>182</v>
      </c>
      <c r="N68" t="s">
        <v>118</v>
      </c>
    </row>
    <row r="69" spans="1:14" x14ac:dyDescent="0.2">
      <c r="A69" s="1">
        <f t="shared" si="5"/>
        <v>68</v>
      </c>
      <c r="B69" t="str">
        <f t="shared" si="4"/>
        <v>Friday</v>
      </c>
      <c r="C69" s="26">
        <v>46066</v>
      </c>
      <c r="D69" s="25" t="s">
        <v>97</v>
      </c>
      <c r="E69" s="63" t="s">
        <v>106</v>
      </c>
      <c r="F69" s="17" t="s">
        <v>99</v>
      </c>
      <c r="G69" s="13" t="s">
        <v>159</v>
      </c>
      <c r="H69" s="63" t="s">
        <v>160</v>
      </c>
      <c r="I69" t="s">
        <v>102</v>
      </c>
      <c r="J69" s="57" t="s">
        <v>161</v>
      </c>
      <c r="K69" s="14">
        <v>24000</v>
      </c>
      <c r="L69" s="15">
        <v>1</v>
      </c>
      <c r="M69" t="s">
        <v>22</v>
      </c>
      <c r="N69" t="s">
        <v>162</v>
      </c>
    </row>
    <row r="70" spans="1:14" x14ac:dyDescent="0.2">
      <c r="A70" s="1">
        <f t="shared" si="5"/>
        <v>69</v>
      </c>
      <c r="B70" t="str">
        <f t="shared" si="4"/>
        <v>Saturday</v>
      </c>
      <c r="C70" s="26">
        <v>46074</v>
      </c>
      <c r="D70" s="25" t="s">
        <v>97</v>
      </c>
      <c r="E70" s="63" t="s">
        <v>114</v>
      </c>
      <c r="F70" s="59" t="s">
        <v>99</v>
      </c>
      <c r="G70" s="57" t="s">
        <v>183</v>
      </c>
      <c r="H70" s="63" t="s">
        <v>127</v>
      </c>
      <c r="I70" t="s">
        <v>102</v>
      </c>
      <c r="J70" t="s">
        <v>128</v>
      </c>
      <c r="K70" s="14">
        <v>50000</v>
      </c>
      <c r="L70" s="15">
        <v>1</v>
      </c>
      <c r="M70" t="s">
        <v>182</v>
      </c>
      <c r="N70" t="s">
        <v>123</v>
      </c>
    </row>
    <row r="71" spans="1:14" x14ac:dyDescent="0.2">
      <c r="A71" s="1">
        <f t="shared" si="5"/>
        <v>70</v>
      </c>
      <c r="B71" t="str">
        <f t="shared" si="4"/>
        <v>Saturday</v>
      </c>
      <c r="C71" s="26">
        <v>46074</v>
      </c>
      <c r="D71" s="25" t="s">
        <v>97</v>
      </c>
      <c r="E71" s="63" t="s">
        <v>119</v>
      </c>
      <c r="F71" s="17" t="s">
        <v>99</v>
      </c>
      <c r="G71" s="17" t="s">
        <v>120</v>
      </c>
      <c r="H71" s="63" t="s">
        <v>121</v>
      </c>
      <c r="I71" s="2" t="s">
        <v>102</v>
      </c>
      <c r="J71" s="14" t="s">
        <v>122</v>
      </c>
      <c r="K71" s="14">
        <v>1</v>
      </c>
      <c r="L71" s="15">
        <v>1</v>
      </c>
      <c r="M71" t="s">
        <v>185</v>
      </c>
      <c r="N71" t="s">
        <v>118</v>
      </c>
    </row>
    <row r="72" spans="1:14" x14ac:dyDescent="0.2">
      <c r="A72" s="1">
        <f t="shared" si="5"/>
        <v>71</v>
      </c>
      <c r="B72" t="str">
        <f t="shared" si="4"/>
        <v>Saturday</v>
      </c>
      <c r="C72" s="26">
        <v>46074</v>
      </c>
      <c r="D72" s="25" t="s">
        <v>97</v>
      </c>
      <c r="E72" s="63" t="s">
        <v>119</v>
      </c>
      <c r="F72" s="17" t="s">
        <v>99</v>
      </c>
      <c r="G72" s="17" t="s">
        <v>190</v>
      </c>
      <c r="H72" s="63" t="s">
        <v>191</v>
      </c>
      <c r="I72" s="2" t="s">
        <v>102</v>
      </c>
      <c r="J72" s="14" t="s">
        <v>122</v>
      </c>
      <c r="K72" s="14">
        <v>10</v>
      </c>
      <c r="L72" s="15">
        <v>1</v>
      </c>
      <c r="M72" t="s">
        <v>185</v>
      </c>
      <c r="N72" t="s">
        <v>118</v>
      </c>
    </row>
    <row r="73" spans="1:14" x14ac:dyDescent="0.2">
      <c r="A73" s="1">
        <f t="shared" si="5"/>
        <v>72</v>
      </c>
      <c r="B73" t="str">
        <f t="shared" si="4"/>
        <v>Saturday</v>
      </c>
      <c r="C73" s="26">
        <v>46074</v>
      </c>
      <c r="D73" s="25" t="s">
        <v>97</v>
      </c>
      <c r="E73" s="63" t="s">
        <v>119</v>
      </c>
      <c r="F73" s="17" t="s">
        <v>99</v>
      </c>
      <c r="G73" s="17" t="s">
        <v>120</v>
      </c>
      <c r="H73" s="63" t="s">
        <v>121</v>
      </c>
      <c r="I73" s="2" t="s">
        <v>102</v>
      </c>
      <c r="J73" s="14" t="s">
        <v>122</v>
      </c>
      <c r="K73" s="14">
        <v>49999</v>
      </c>
      <c r="L73" s="15">
        <v>1</v>
      </c>
      <c r="M73" t="s">
        <v>185</v>
      </c>
      <c r="N73" t="s">
        <v>118</v>
      </c>
    </row>
    <row r="74" spans="1:14" x14ac:dyDescent="0.2">
      <c r="A74" s="1">
        <f t="shared" si="5"/>
        <v>73</v>
      </c>
      <c r="B74" t="str">
        <f t="shared" si="4"/>
        <v>Saturday</v>
      </c>
      <c r="C74" s="26">
        <v>46074</v>
      </c>
      <c r="D74" s="25" t="s">
        <v>97</v>
      </c>
      <c r="E74" s="63" t="s">
        <v>119</v>
      </c>
      <c r="F74" s="17" t="s">
        <v>99</v>
      </c>
      <c r="G74" s="17" t="s">
        <v>190</v>
      </c>
      <c r="H74" s="63" t="s">
        <v>191</v>
      </c>
      <c r="I74" s="2" t="s">
        <v>102</v>
      </c>
      <c r="J74" s="14" t="s">
        <v>122</v>
      </c>
      <c r="K74" s="14">
        <v>15000</v>
      </c>
      <c r="L74" s="15">
        <v>1</v>
      </c>
      <c r="M74" t="s">
        <v>185</v>
      </c>
      <c r="N74" t="s">
        <v>118</v>
      </c>
    </row>
    <row r="75" spans="1:14" x14ac:dyDescent="0.2">
      <c r="A75" s="1">
        <f t="shared" si="5"/>
        <v>74</v>
      </c>
      <c r="B75" t="str">
        <f t="shared" si="4"/>
        <v>Sunday</v>
      </c>
      <c r="C75" s="26">
        <v>46075</v>
      </c>
      <c r="D75" s="25"/>
      <c r="E75" s="63" t="s">
        <v>119</v>
      </c>
      <c r="F75" s="17" t="s">
        <v>99</v>
      </c>
      <c r="G75" s="17" t="s">
        <v>120</v>
      </c>
      <c r="H75" s="63" t="s">
        <v>121</v>
      </c>
      <c r="I75" s="2" t="s">
        <v>102</v>
      </c>
      <c r="J75" s="14" t="s">
        <v>122</v>
      </c>
      <c r="K75" s="14">
        <v>50000</v>
      </c>
      <c r="L75" s="15">
        <v>1</v>
      </c>
      <c r="M75" t="s">
        <v>185</v>
      </c>
      <c r="N75" t="s">
        <v>118</v>
      </c>
    </row>
    <row r="76" spans="1:14" x14ac:dyDescent="0.2">
      <c r="A76" s="1">
        <f t="shared" si="5"/>
        <v>75</v>
      </c>
      <c r="B76" t="str">
        <f t="shared" si="4"/>
        <v>Monday</v>
      </c>
      <c r="C76" s="26">
        <v>46076</v>
      </c>
      <c r="D76" s="25"/>
      <c r="E76" s="63" t="s">
        <v>119</v>
      </c>
      <c r="F76" s="17" t="s">
        <v>50</v>
      </c>
      <c r="G76" s="2" t="s">
        <v>192</v>
      </c>
      <c r="H76" s="2" t="s">
        <v>193</v>
      </c>
      <c r="I76" t="s">
        <v>102</v>
      </c>
      <c r="J76" t="s">
        <v>103</v>
      </c>
      <c r="K76" s="14">
        <v>57000</v>
      </c>
      <c r="L76" s="15">
        <v>1</v>
      </c>
      <c r="M76" t="s">
        <v>110</v>
      </c>
      <c r="N76" t="s">
        <v>118</v>
      </c>
    </row>
    <row r="77" spans="1:14" x14ac:dyDescent="0.2">
      <c r="A77" s="1">
        <f>A76+1</f>
        <v>76</v>
      </c>
      <c r="B77" t="str">
        <f>TEXT(C77,"dddd")</f>
        <v>Wednesday</v>
      </c>
      <c r="C77" s="26">
        <v>46078</v>
      </c>
      <c r="D77" s="25" t="s">
        <v>97</v>
      </c>
      <c r="E77" s="63" t="s">
        <v>112</v>
      </c>
      <c r="F77" s="59" t="s">
        <v>99</v>
      </c>
      <c r="G77" s="57" t="s">
        <v>194</v>
      </c>
      <c r="H77" s="63" t="s">
        <v>113</v>
      </c>
      <c r="I77" t="s">
        <v>102</v>
      </c>
      <c r="J77" t="s">
        <v>103</v>
      </c>
      <c r="K77" s="14">
        <v>8000</v>
      </c>
      <c r="L77" s="15">
        <v>1</v>
      </c>
      <c r="M77" t="s">
        <v>22</v>
      </c>
      <c r="N77" t="s">
        <v>104</v>
      </c>
    </row>
    <row r="78" spans="1:14" x14ac:dyDescent="0.2">
      <c r="A78" s="1">
        <f>A77+1</f>
        <v>77</v>
      </c>
      <c r="B78" t="str">
        <f>TEXT(C78,"dddd")</f>
        <v>Saturday</v>
      </c>
      <c r="C78" s="26">
        <v>46081</v>
      </c>
      <c r="D78" s="25"/>
      <c r="E78" s="63" t="s">
        <v>98</v>
      </c>
      <c r="F78" s="17" t="s">
        <v>195</v>
      </c>
      <c r="G78" s="17" t="s">
        <v>196</v>
      </c>
      <c r="H78" s="63" t="s">
        <v>197</v>
      </c>
      <c r="I78" t="s">
        <v>102</v>
      </c>
      <c r="J78" t="s">
        <v>128</v>
      </c>
      <c r="K78" s="14">
        <v>82600</v>
      </c>
      <c r="L78" s="15">
        <v>1</v>
      </c>
      <c r="M78" t="s">
        <v>110</v>
      </c>
      <c r="N78" t="s">
        <v>104</v>
      </c>
    </row>
    <row r="79" spans="1:14" x14ac:dyDescent="0.2">
      <c r="A79" s="1">
        <f>A78+1</f>
        <v>78</v>
      </c>
      <c r="B79" t="str">
        <f>TEXT(C79,"dddd")</f>
        <v>Monday</v>
      </c>
      <c r="C79" s="26">
        <v>46083</v>
      </c>
      <c r="D79" s="25"/>
      <c r="E79" s="63" t="s">
        <v>119</v>
      </c>
      <c r="F79" s="17" t="s">
        <v>99</v>
      </c>
      <c r="G79" s="17" t="s">
        <v>186</v>
      </c>
      <c r="H79" s="63" t="s">
        <v>187</v>
      </c>
      <c r="I79" t="s">
        <v>102</v>
      </c>
      <c r="J79" t="s">
        <v>188</v>
      </c>
      <c r="K79" s="14">
        <v>50000</v>
      </c>
      <c r="L79" s="15">
        <v>1</v>
      </c>
      <c r="M79" t="s">
        <v>182</v>
      </c>
      <c r="N79" t="s">
        <v>118</v>
      </c>
    </row>
    <row r="80" spans="1:14" x14ac:dyDescent="0.2">
      <c r="A80" s="1">
        <f>A79+1</f>
        <v>79</v>
      </c>
      <c r="B80" t="str">
        <f>TEXT(C80,"dddd")</f>
        <v>Monday</v>
      </c>
      <c r="C80" s="26">
        <v>46083</v>
      </c>
      <c r="D80" s="25"/>
      <c r="E80" s="63" t="s">
        <v>114</v>
      </c>
      <c r="F80" s="17" t="s">
        <v>99</v>
      </c>
      <c r="G80" s="17" t="s">
        <v>189</v>
      </c>
      <c r="H80" s="63" t="s">
        <v>131</v>
      </c>
      <c r="I80" t="s">
        <v>102</v>
      </c>
      <c r="J80" t="s">
        <v>132</v>
      </c>
      <c r="K80" s="14">
        <v>25000</v>
      </c>
      <c r="L80" s="15">
        <v>1</v>
      </c>
      <c r="M80" t="s">
        <v>185</v>
      </c>
      <c r="N80" t="s">
        <v>118</v>
      </c>
    </row>
    <row r="81" spans="1:14" x14ac:dyDescent="0.2">
      <c r="A81" s="1">
        <f>A80+1</f>
        <v>80</v>
      </c>
      <c r="B81" t="str">
        <f t="shared" ref="B81" si="6">TEXT(C81,"dddd")</f>
        <v>Thursday</v>
      </c>
      <c r="C81" s="26">
        <v>46086</v>
      </c>
      <c r="D81" s="25" t="s">
        <v>97</v>
      </c>
      <c r="E81" s="63" t="s">
        <v>98</v>
      </c>
      <c r="F81" s="17" t="s">
        <v>99</v>
      </c>
      <c r="G81" s="17" t="s">
        <v>198</v>
      </c>
      <c r="H81" s="63" t="s">
        <v>191</v>
      </c>
      <c r="I81" s="2" t="s">
        <v>102</v>
      </c>
      <c r="J81" s="14" t="s">
        <v>122</v>
      </c>
      <c r="K81" s="14">
        <v>30000</v>
      </c>
      <c r="L81" s="15">
        <v>1</v>
      </c>
      <c r="M81" t="s">
        <v>185</v>
      </c>
      <c r="N81" t="s">
        <v>118</v>
      </c>
    </row>
  </sheetData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6D6B87-38DB-44E8-B161-5A35A75AA80C}">
          <x14:formula1>
            <xm:f>Expenses!$J$2:$J$10</xm:f>
          </x14:formula1>
          <xm:sqref>M2:M1048576</xm:sqref>
        </x14:dataValidation>
        <x14:dataValidation type="list" allowBlank="1" showInputMessage="1" showErrorMessage="1" xr:uid="{631BC44D-06AE-4F39-80A7-39A1FB42EC5B}">
          <x14:formula1>
            <xm:f>Validations!$B$2:$B$7</xm:f>
          </x14:formula1>
          <xm:sqref>F2:F1048576</xm:sqref>
        </x14:dataValidation>
        <x14:dataValidation type="list" allowBlank="1" showInputMessage="1" showErrorMessage="1" xr:uid="{BD75AF02-6758-4A4C-BC42-3B62BA6E755F}">
          <x14:formula1>
            <xm:f>Validations!$D$2:$D$3</xm:f>
          </x14:formula1>
          <xm:sqref>D2:D1048576</xm:sqref>
        </x14:dataValidation>
        <x14:dataValidation type="list" allowBlank="1" showInputMessage="1" showErrorMessage="1" xr:uid="{4E9971E8-D742-4DB8-91E8-03B6ABC9C9F6}">
          <x14:formula1>
            <xm:f>Validations!$E$2:$E$7</xm:f>
          </x14:formula1>
          <xm:sqref>N2:N1048576</xm:sqref>
        </x14:dataValidation>
        <x14:dataValidation type="list" allowBlank="1" showInputMessage="1" showErrorMessage="1" xr:uid="{2372D282-2A92-49E8-B99A-15601C22B738}">
          <x14:formula1>
            <xm:f>Validations!$A$2:$A$11</xm:f>
          </x14:formula1>
          <xm:sqref>E2:E81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006"/>
  <sheetViews>
    <sheetView zoomScaleNormal="100" workbookViewId="0">
      <pane ySplit="1" topLeftCell="A2" activePane="bottomLeft" state="frozen"/>
      <selection pane="bottomLeft" activeCell="F26" sqref="F26"/>
    </sheetView>
  </sheetViews>
  <sheetFormatPr defaultColWidth="12.5703125" defaultRowHeight="15.75" customHeight="1" x14ac:dyDescent="0.2"/>
  <cols>
    <col min="1" max="1" width="9.7109375" style="1" bestFit="1" customWidth="1"/>
    <col min="2" max="2" width="10.7109375" bestFit="1" customWidth="1"/>
    <col min="3" max="3" width="11" style="17" bestFit="1" customWidth="1"/>
    <col min="4" max="4" width="18.140625" bestFit="1" customWidth="1"/>
    <col min="5" max="5" width="19.140625" bestFit="1" customWidth="1"/>
    <col min="6" max="6" width="52.5703125" bestFit="1" customWidth="1"/>
    <col min="7" max="7" width="14.28515625" style="28" bestFit="1" customWidth="1"/>
    <col min="8" max="8" width="17.140625" bestFit="1" customWidth="1"/>
    <col min="9" max="9" width="13" bestFit="1" customWidth="1"/>
    <col min="10" max="10" width="18.140625" bestFit="1" customWidth="1"/>
    <col min="11" max="11" width="15.140625" style="18" bestFit="1" customWidth="1"/>
    <col min="12" max="12" width="14.85546875" style="18" bestFit="1" customWidth="1"/>
    <col min="13" max="13" width="13.5703125" style="121" bestFit="1" customWidth="1"/>
    <col min="14" max="14" width="25.28515625" style="18" bestFit="1" customWidth="1"/>
    <col min="15" max="15" width="23.5703125" style="18" bestFit="1" customWidth="1"/>
    <col min="16" max="16" width="13.5703125" style="18" bestFit="1" customWidth="1"/>
    <col min="17" max="17" width="20.7109375" style="18" bestFit="1" customWidth="1"/>
    <col min="18" max="18" width="13.85546875" bestFit="1" customWidth="1"/>
    <col min="19" max="19" width="6.28515625" style="15" bestFit="1" customWidth="1"/>
    <col min="20" max="20" width="13.5703125" bestFit="1" customWidth="1"/>
    <col min="21" max="22" width="14.140625" bestFit="1" customWidth="1"/>
  </cols>
  <sheetData>
    <row r="1" spans="1:22" ht="15.75" customHeight="1" x14ac:dyDescent="0.2">
      <c r="A1" s="49" t="s">
        <v>0</v>
      </c>
      <c r="B1" s="50" t="s">
        <v>29</v>
      </c>
      <c r="C1" s="60" t="s">
        <v>1</v>
      </c>
      <c r="D1" s="50" t="s">
        <v>199</v>
      </c>
      <c r="E1" s="50" t="s">
        <v>200</v>
      </c>
      <c r="F1" s="50" t="s">
        <v>201</v>
      </c>
      <c r="G1" s="52" t="s">
        <v>202</v>
      </c>
      <c r="H1" s="51" t="s">
        <v>203</v>
      </c>
      <c r="I1" s="52" t="s">
        <v>204</v>
      </c>
      <c r="J1" s="47" t="s">
        <v>205</v>
      </c>
      <c r="K1" s="48" t="s">
        <v>7</v>
      </c>
      <c r="L1" s="48" t="s">
        <v>31</v>
      </c>
      <c r="M1" s="120" t="s">
        <v>206</v>
      </c>
      <c r="N1" s="119" t="s">
        <v>207</v>
      </c>
      <c r="O1" s="117" t="s">
        <v>208</v>
      </c>
      <c r="P1" s="117" t="s">
        <v>206</v>
      </c>
      <c r="Q1" s="117" t="s">
        <v>209</v>
      </c>
      <c r="S1" s="112" t="s">
        <v>0</v>
      </c>
      <c r="T1" s="98" t="s">
        <v>210</v>
      </c>
      <c r="U1" s="98" t="s">
        <v>202</v>
      </c>
    </row>
    <row r="2" spans="1:22" ht="12.75" x14ac:dyDescent="0.2">
      <c r="A2" s="10">
        <v>1</v>
      </c>
      <c r="B2" s="19">
        <v>45901</v>
      </c>
      <c r="C2" s="24" t="str">
        <f t="shared" ref="C2:C49" si="0">TEXT(B2,"dddd")</f>
        <v>Monday</v>
      </c>
      <c r="D2" s="6" t="s">
        <v>69</v>
      </c>
      <c r="E2" s="6" t="s">
        <v>211</v>
      </c>
      <c r="F2" s="6" t="s">
        <v>212</v>
      </c>
      <c r="G2" s="18">
        <v>1000</v>
      </c>
      <c r="H2" s="6" t="s">
        <v>22</v>
      </c>
      <c r="I2" s="6"/>
      <c r="J2" t="s">
        <v>22</v>
      </c>
      <c r="K2" s="18">
        <f>SUMIFS(Income!$K:$K,Income!M:M,Expenses!J2,Income!$C:$C,"&lt;="&amp;Validations!$N$1)</f>
        <v>261337.41999999998</v>
      </c>
      <c r="L2" s="18">
        <f>SUMIFS(G:G,H:H,J2,B:B,"&lt;="&amp;Validations!$N$1)</f>
        <v>130143.42729166656</v>
      </c>
      <c r="M2" s="121">
        <f>K2-L2</f>
        <v>131193.99270833342</v>
      </c>
      <c r="N2" s="118">
        <f>SUMIFS(Income!$K:$K,Income!$M:$M,Expenses!J2,Income!$C:$C,"&gt;="&amp;Validations!$N$1)</f>
        <v>121773.9</v>
      </c>
      <c r="O2" s="118">
        <f>SUMIFS($G:$G,Expenses!$B:$B,"&gt;="&amp;Validations!$N$1,Expenses!$H:$H,Expenses!J2,D:D,"&lt;&gt;"&amp;"Salary")</f>
        <v>90891.900000000009</v>
      </c>
      <c r="P2" s="118">
        <f>N2-O2</f>
        <v>30881.999999999985</v>
      </c>
      <c r="Q2" s="116">
        <f>($L$13+SUM($P$2:$P$5)+$P$9)/5-P2</f>
        <v>62565.606000000014</v>
      </c>
      <c r="R2" s="30"/>
      <c r="S2" s="15">
        <v>1</v>
      </c>
      <c r="T2" t="s">
        <v>213</v>
      </c>
      <c r="U2" s="18">
        <f>SUMIFS(G:G,H:H,J9,D:D,T2)</f>
        <v>433683.33333333331</v>
      </c>
    </row>
    <row r="3" spans="1:22" ht="15.75" customHeight="1" x14ac:dyDescent="0.2">
      <c r="A3" s="10">
        <f t="shared" ref="A3:A34" si="1">A2+1</f>
        <v>2</v>
      </c>
      <c r="B3" s="19">
        <v>45901</v>
      </c>
      <c r="C3" s="24" t="str">
        <f t="shared" si="0"/>
        <v>Monday</v>
      </c>
      <c r="D3" s="6" t="s">
        <v>214</v>
      </c>
      <c r="E3" s="6" t="s">
        <v>215</v>
      </c>
      <c r="F3" s="6"/>
      <c r="G3" s="18">
        <v>80</v>
      </c>
      <c r="H3" s="6" t="s">
        <v>182</v>
      </c>
      <c r="I3" s="6"/>
      <c r="J3" t="s">
        <v>216</v>
      </c>
      <c r="K3" s="18">
        <f>SUMIFS(Income!$K:$K,Income!M:M,Expenses!J3,Income!$C:$C,"&lt;="&amp;Validations!$N$1)</f>
        <v>0</v>
      </c>
      <c r="L3" s="18">
        <f>SUMIFS(G:G,H:H,J3,B:B,"&lt;="&amp;Validations!$N$1)</f>
        <v>-125530.99270833342</v>
      </c>
      <c r="M3" s="121">
        <f t="shared" ref="M3:M7" si="2">K3-L3</f>
        <v>125530.99270833342</v>
      </c>
      <c r="N3" s="118">
        <f>SUMIFS(Income!$K:$K,Income!$M:$M,Expenses!J3,Income!$C:$C,"&gt;="&amp;Validations!$N$1)</f>
        <v>0</v>
      </c>
      <c r="O3" s="118">
        <f>SUMIFS($G:$G,Expenses!$B:$B,"&gt;="&amp;Validations!$N$1,Expenses!$H:$H,Expenses!J3,D:D,"&lt;&gt;"&amp;"Salary")</f>
        <v>-44061.18</v>
      </c>
      <c r="P3" s="118">
        <f t="shared" ref="P3:P8" si="3">N3-O3</f>
        <v>44061.18</v>
      </c>
      <c r="Q3" s="116">
        <f t="shared" ref="Q3:Q5" si="4">($L$13+SUM($P$2:$P$5)+$P$9)/5-P3</f>
        <v>49386.425999999999</v>
      </c>
      <c r="R3" s="30"/>
      <c r="S3" s="15">
        <v>2</v>
      </c>
      <c r="T3" t="s">
        <v>217</v>
      </c>
      <c r="U3" s="18">
        <f>SUMIFS(G:G,H:H,J9,D:D,T3)</f>
        <v>166816.66666666701</v>
      </c>
      <c r="V3" s="30"/>
    </row>
    <row r="4" spans="1:22" ht="15.75" customHeight="1" x14ac:dyDescent="0.2">
      <c r="A4" s="10">
        <f t="shared" si="1"/>
        <v>3</v>
      </c>
      <c r="B4" s="19">
        <v>45901</v>
      </c>
      <c r="C4" s="24" t="str">
        <f t="shared" si="0"/>
        <v>Monday</v>
      </c>
      <c r="D4" s="6" t="s">
        <v>214</v>
      </c>
      <c r="E4" s="6"/>
      <c r="F4" s="6"/>
      <c r="G4" s="18">
        <v>100</v>
      </c>
      <c r="H4" s="6" t="s">
        <v>182</v>
      </c>
      <c r="I4" s="6"/>
      <c r="J4" s="6" t="s">
        <v>182</v>
      </c>
      <c r="K4" s="18">
        <f>SUMIFS(Income!$K:$K,Income!M:M,Expenses!J4,Income!$C:$C,"&lt;="&amp;Validations!$N$1)</f>
        <v>50000</v>
      </c>
      <c r="L4" s="18">
        <f>SUMIFS(G:G,H:H,J4,B:B,"&lt;="&amp;Validations!$N$1)</f>
        <v>-75398.992708333419</v>
      </c>
      <c r="M4" s="121">
        <f t="shared" si="2"/>
        <v>125398.99270833342</v>
      </c>
      <c r="N4" s="118">
        <f>SUMIFS(Income!$K:$K,Income!$M:$M,Expenses!J4,Income!$C:$C,"&gt;="&amp;Validations!$N$1)</f>
        <v>150000</v>
      </c>
      <c r="O4" s="118">
        <f>SUMIFS($G:$G,Expenses!$B:$B,"&gt;="&amp;Validations!$N$1,Expenses!$H:$H,Expenses!J4,D:D,"&lt;&gt;"&amp;"Salary")</f>
        <v>101848.02</v>
      </c>
      <c r="P4" s="118">
        <f t="shared" si="3"/>
        <v>48151.979999999996</v>
      </c>
      <c r="Q4" s="116">
        <f t="shared" si="4"/>
        <v>45295.626000000004</v>
      </c>
      <c r="R4" s="30"/>
    </row>
    <row r="5" spans="1:22" ht="15" customHeight="1" x14ac:dyDescent="0.2">
      <c r="A5" s="10">
        <f t="shared" si="1"/>
        <v>4</v>
      </c>
      <c r="B5" s="19">
        <v>45901</v>
      </c>
      <c r="C5" s="24" t="str">
        <f t="shared" si="0"/>
        <v>Monday</v>
      </c>
      <c r="D5" s="6" t="s">
        <v>218</v>
      </c>
      <c r="E5" s="6"/>
      <c r="F5" s="6"/>
      <c r="G5" s="18">
        <v>252</v>
      </c>
      <c r="H5" s="6" t="s">
        <v>216</v>
      </c>
      <c r="I5" s="74"/>
      <c r="J5" t="s">
        <v>25</v>
      </c>
      <c r="K5" s="18">
        <f>SUMIFS(Income!$K:$K,Income!M:M,Expenses!J5,Income!$C:$C,"&lt;="&amp;Validations!$N$1)</f>
        <v>45000</v>
      </c>
      <c r="L5" s="18">
        <f>SUMIFS(G:G,H:H,J5,B:B,"&lt;="&amp;Validations!$N$1)</f>
        <v>-80053.992708333419</v>
      </c>
      <c r="M5" s="121">
        <f t="shared" si="2"/>
        <v>125053.99270833342</v>
      </c>
      <c r="N5" s="118">
        <f>SUMIFS(Income!$K:$K,Income!$M:$M,Expenses!J5,Income!$C:$C,"&gt;="&amp;Validations!$N$1)</f>
        <v>0</v>
      </c>
      <c r="O5" s="118">
        <f>SUMIFS($G:$G,Expenses!$B:$B,"&gt;="&amp;Validations!$N$1,Expenses!$H:$H,Expenses!J5,D:D,"&lt;&gt;"&amp;"Salary")</f>
        <v>-31058</v>
      </c>
      <c r="P5" s="118">
        <f t="shared" si="3"/>
        <v>31058</v>
      </c>
      <c r="Q5" s="116">
        <f t="shared" si="4"/>
        <v>62389.606</v>
      </c>
      <c r="R5" s="30"/>
      <c r="T5" t="s">
        <v>10</v>
      </c>
      <c r="U5" s="30">
        <f>SUM(U2:U3)</f>
        <v>600500.00000000035</v>
      </c>
    </row>
    <row r="6" spans="1:22" ht="15" customHeight="1" x14ac:dyDescent="0.2">
      <c r="A6" s="10">
        <f t="shared" si="1"/>
        <v>5</v>
      </c>
      <c r="B6" s="19">
        <v>45902</v>
      </c>
      <c r="C6" s="24" t="str">
        <f t="shared" si="0"/>
        <v>Tuesday</v>
      </c>
      <c r="D6" s="6" t="s">
        <v>214</v>
      </c>
      <c r="E6" s="6" t="s">
        <v>215</v>
      </c>
      <c r="F6" s="6"/>
      <c r="G6" s="18">
        <v>215</v>
      </c>
      <c r="H6" s="6" t="s">
        <v>182</v>
      </c>
      <c r="I6" s="74"/>
      <c r="J6" t="s">
        <v>110</v>
      </c>
      <c r="K6" s="18">
        <f>SUMIFS(Income!$K:$K,Income!M:M,Expenses!J6,Income!$C:$C,"&lt;="&amp;Validations!$N$1)</f>
        <v>1639501</v>
      </c>
      <c r="L6" s="18">
        <f>SUMIFS(G:G,H:H,J6,B:B,"&lt;="&amp;Validations!$N$1)</f>
        <v>1639501.0000000002</v>
      </c>
      <c r="M6" s="122">
        <f t="shared" si="2"/>
        <v>0</v>
      </c>
      <c r="N6" s="118">
        <f>SUMIFS(Income!$K:$K,Income!$M:$M,Expenses!J6,Income!$C:$C,"&gt;="&amp;Validations!$N$1)</f>
        <v>139600</v>
      </c>
      <c r="O6" s="118">
        <f>SUMIFS($G:$G,Expenses!$B:$B,"&gt;="&amp;Validations!$N$1,Expenses!$H:$H,Expenses!J6,D:D,"&lt;&gt;"&amp;"Salary")</f>
        <v>4051.9300000000003</v>
      </c>
      <c r="P6" s="118">
        <f t="shared" si="3"/>
        <v>135548.07</v>
      </c>
      <c r="Q6"/>
      <c r="S6" s="116"/>
      <c r="T6" s="57" t="s">
        <v>219</v>
      </c>
      <c r="U6" s="30">
        <f>L13-U5</f>
        <v>-302944.13000000035</v>
      </c>
    </row>
    <row r="7" spans="1:22" ht="15.75" customHeight="1" x14ac:dyDescent="0.2">
      <c r="A7" s="10">
        <f t="shared" si="1"/>
        <v>6</v>
      </c>
      <c r="B7" s="19">
        <v>45902</v>
      </c>
      <c r="C7" s="24" t="str">
        <f t="shared" si="0"/>
        <v>Tuesday</v>
      </c>
      <c r="D7" s="6" t="s">
        <v>220</v>
      </c>
      <c r="E7" s="6" t="s">
        <v>221</v>
      </c>
      <c r="F7" s="6" t="s">
        <v>221</v>
      </c>
      <c r="G7" s="18">
        <v>2500</v>
      </c>
      <c r="H7" s="6" t="s">
        <v>182</v>
      </c>
      <c r="I7" s="74"/>
      <c r="J7" t="s">
        <v>185</v>
      </c>
      <c r="K7" s="18">
        <f>SUMIFS(Income!$K:$K,Income!M:M,Expenses!J7,Income!$C:$C,"&lt;="&amp;Validations!$N$1)</f>
        <v>0</v>
      </c>
      <c r="L7" s="18">
        <f>SUMIFS(G:G,H:H,J7,B:B,"&lt;="&amp;Validations!$N$1)</f>
        <v>4.5297099404706387E-14</v>
      </c>
      <c r="M7" s="121">
        <f t="shared" si="2"/>
        <v>-4.5297099404706387E-14</v>
      </c>
      <c r="N7" s="118">
        <f>SUMIFS(Income!$K:$K,Income!$M:$M,Expenses!J7,Income!$C:$C,"&gt;="&amp;Validations!$N$1)</f>
        <v>340010</v>
      </c>
      <c r="O7" s="118">
        <f>SUMIFS($G:$G,Expenses!$B:$B,"&gt;="&amp;Validations!$N$1,Expenses!$H:$H,Expenses!J7)</f>
        <v>200268.2</v>
      </c>
      <c r="P7" s="118">
        <f t="shared" si="3"/>
        <v>139741.79999999999</v>
      </c>
      <c r="Q7"/>
      <c r="U7" s="30"/>
    </row>
    <row r="8" spans="1:22" ht="15.75" customHeight="1" x14ac:dyDescent="0.2">
      <c r="A8" s="10">
        <f t="shared" si="1"/>
        <v>7</v>
      </c>
      <c r="B8" s="19">
        <v>45902</v>
      </c>
      <c r="C8" s="24" t="str">
        <f t="shared" si="0"/>
        <v>Tuesday</v>
      </c>
      <c r="D8" s="6" t="s">
        <v>69</v>
      </c>
      <c r="E8" s="6" t="s">
        <v>211</v>
      </c>
      <c r="F8" s="6" t="s">
        <v>212</v>
      </c>
      <c r="G8" s="18">
        <v>20000</v>
      </c>
      <c r="H8" s="6" t="s">
        <v>22</v>
      </c>
      <c r="I8" s="6"/>
      <c r="J8" t="s">
        <v>129</v>
      </c>
      <c r="K8" s="18">
        <f>SUMIFS(Income!$K:$K,Income!M:M,Expenses!J8,Income!$C:$C,"&lt;="&amp;Validations!$N$1)</f>
        <v>25000</v>
      </c>
      <c r="L8" s="18">
        <f>SUMIFS(G:G,H:H,J8,B:B,"&lt;="&amp;Validations!$N$1)</f>
        <v>25000</v>
      </c>
      <c r="M8" s="121">
        <f t="shared" ref="M8:M10" si="5">K8-L8</f>
        <v>0</v>
      </c>
      <c r="N8" s="118">
        <f>SUMIFS(Income!$K:$K,Income!$M:$M,Expenses!J8,Income!$C:$C,"&gt;="&amp;Validations!$N$1)</f>
        <v>0</v>
      </c>
      <c r="O8" s="118">
        <f>SUMIFS($G:$G,Expenses!$B:$B,"&gt;="&amp;Validations!$N$1,Expenses!$H:$H,Expenses!J8)</f>
        <v>-22266</v>
      </c>
      <c r="P8" s="118">
        <f t="shared" si="3"/>
        <v>22266</v>
      </c>
      <c r="Q8"/>
      <c r="U8" s="30"/>
    </row>
    <row r="9" spans="1:22" ht="15.75" customHeight="1" x14ac:dyDescent="0.2">
      <c r="A9" s="10">
        <f t="shared" si="1"/>
        <v>8</v>
      </c>
      <c r="B9" s="19">
        <v>45902</v>
      </c>
      <c r="C9" s="24" t="str">
        <f t="shared" si="0"/>
        <v>Tuesday</v>
      </c>
      <c r="D9" s="6" t="s">
        <v>214</v>
      </c>
      <c r="E9" s="6" t="s">
        <v>222</v>
      </c>
      <c r="F9" s="6"/>
      <c r="G9" s="18">
        <v>428</v>
      </c>
      <c r="H9" s="6" t="s">
        <v>182</v>
      </c>
      <c r="I9" s="6"/>
      <c r="J9" s="6" t="s">
        <v>26</v>
      </c>
      <c r="K9" s="18">
        <f>SUMIFS(Income!$K:$K,Income!M:M,Expenses!J9,Income!$C:$C,"&lt;="&amp;Validations!$N$1)</f>
        <v>0</v>
      </c>
      <c r="L9" s="18">
        <f>SUMIFS(G:G,H:H,J9,B:B,"&lt;="&amp;Validations!$N$1)</f>
        <v>0</v>
      </c>
      <c r="M9" s="121">
        <f t="shared" si="5"/>
        <v>0</v>
      </c>
      <c r="N9" s="118">
        <f>SUMIFS(Income!$K:$K,Income!$M:$M,Expenses!J9,Income!$C:$C,"&gt;="&amp;Validations!$N$1)</f>
        <v>0</v>
      </c>
      <c r="O9" s="118">
        <f>SUMIFS($G:$G,Expenses!$B:$B,"&gt;="&amp;Validations!$N$1,Expenses!$H:$H,Expenses!J9,D:D,"&lt;&gt;"&amp;"Loan",D:D,"&lt;&gt;"&amp;"equity")</f>
        <v>-15529</v>
      </c>
      <c r="P9" s="118">
        <f t="shared" ref="P9" si="6">N9-O9</f>
        <v>15529</v>
      </c>
      <c r="Q9" s="116">
        <f t="shared" ref="Q9" si="7">($L$13+SUM($P$2:$P$5)+$P$9)/5-P9</f>
        <v>77918.606</v>
      </c>
      <c r="R9" s="30"/>
    </row>
    <row r="10" spans="1:22" ht="15.75" customHeight="1" x14ac:dyDescent="0.2">
      <c r="A10" s="10">
        <f t="shared" si="1"/>
        <v>9</v>
      </c>
      <c r="B10" s="19">
        <v>45903</v>
      </c>
      <c r="C10" s="24" t="str">
        <f t="shared" si="0"/>
        <v>Wednesday</v>
      </c>
      <c r="D10" s="6" t="s">
        <v>223</v>
      </c>
      <c r="E10" s="6"/>
      <c r="F10" s="6"/>
      <c r="G10" s="18">
        <v>500</v>
      </c>
      <c r="H10" s="6" t="s">
        <v>216</v>
      </c>
      <c r="I10" s="6"/>
      <c r="J10" t="s">
        <v>224</v>
      </c>
      <c r="K10" s="18">
        <f>SUMIFS(Income!$K:$K,Income!M:M,Expenses!J10,Income!$C:$C,"&lt;="&amp;Validations!$N$1)</f>
        <v>0</v>
      </c>
      <c r="L10" s="18">
        <f>SUMIF(H:H,J10,G:G)</f>
        <v>-15529</v>
      </c>
      <c r="M10" s="121">
        <f t="shared" si="5"/>
        <v>15529</v>
      </c>
      <c r="N10" s="118"/>
      <c r="O10" s="118"/>
      <c r="P10" s="118"/>
      <c r="Q10" s="133"/>
    </row>
    <row r="11" spans="1:22" ht="14.25" customHeight="1" x14ac:dyDescent="0.2">
      <c r="A11" s="10">
        <f t="shared" si="1"/>
        <v>10</v>
      </c>
      <c r="B11" s="19">
        <v>45903</v>
      </c>
      <c r="C11" s="24" t="str">
        <f t="shared" si="0"/>
        <v>Wednesday</v>
      </c>
      <c r="D11" s="6" t="s">
        <v>214</v>
      </c>
      <c r="E11" s="6" t="s">
        <v>225</v>
      </c>
      <c r="F11" s="6"/>
      <c r="G11" s="18">
        <v>30</v>
      </c>
      <c r="H11" s="6" t="s">
        <v>182</v>
      </c>
      <c r="I11" s="6"/>
    </row>
    <row r="12" spans="1:22" ht="15.75" customHeight="1" x14ac:dyDescent="0.2">
      <c r="A12" s="10">
        <f t="shared" si="1"/>
        <v>11</v>
      </c>
      <c r="B12" s="19">
        <v>45903</v>
      </c>
      <c r="C12" s="24" t="str">
        <f t="shared" si="0"/>
        <v>Wednesday</v>
      </c>
      <c r="D12" s="6" t="s">
        <v>214</v>
      </c>
      <c r="E12" s="6"/>
      <c r="F12" t="s">
        <v>226</v>
      </c>
      <c r="G12" s="18">
        <v>64</v>
      </c>
      <c r="H12" t="s">
        <v>22</v>
      </c>
      <c r="I12" s="6"/>
    </row>
    <row r="13" spans="1:22" ht="15.75" customHeight="1" x14ac:dyDescent="0.2">
      <c r="A13" s="10">
        <f t="shared" si="1"/>
        <v>12</v>
      </c>
      <c r="B13" s="19">
        <v>45903</v>
      </c>
      <c r="C13" s="24" t="str">
        <f t="shared" si="0"/>
        <v>Wednesday</v>
      </c>
      <c r="D13" s="6" t="s">
        <v>214</v>
      </c>
      <c r="E13" s="6" t="s">
        <v>227</v>
      </c>
      <c r="G13" s="18">
        <v>96</v>
      </c>
      <c r="H13" t="s">
        <v>25</v>
      </c>
      <c r="I13" s="6"/>
      <c r="K13" s="48" t="s">
        <v>228</v>
      </c>
      <c r="L13" s="94">
        <f>SUM(P6:P8)</f>
        <v>297555.87</v>
      </c>
      <c r="Q13" s="118"/>
      <c r="R13" s="30"/>
    </row>
    <row r="14" spans="1:22" ht="15.75" customHeight="1" x14ac:dyDescent="0.2">
      <c r="A14" s="10">
        <f t="shared" si="1"/>
        <v>13</v>
      </c>
      <c r="B14" s="19">
        <v>45904</v>
      </c>
      <c r="C14" s="24" t="str">
        <f t="shared" si="0"/>
        <v>Thursday</v>
      </c>
      <c r="D14" s="6" t="s">
        <v>214</v>
      </c>
      <c r="E14" s="6" t="s">
        <v>229</v>
      </c>
      <c r="G14" s="18">
        <v>685</v>
      </c>
      <c r="H14" t="s">
        <v>182</v>
      </c>
      <c r="I14" s="6"/>
      <c r="M14" s="123"/>
      <c r="N14" s="30"/>
      <c r="Q14" s="118"/>
      <c r="R14" s="30"/>
      <c r="S14" s="116"/>
      <c r="T14" s="30"/>
    </row>
    <row r="15" spans="1:22" ht="15.75" customHeight="1" x14ac:dyDescent="0.2">
      <c r="A15" s="10">
        <f t="shared" si="1"/>
        <v>14</v>
      </c>
      <c r="B15" s="19">
        <v>45905</v>
      </c>
      <c r="C15" s="24" t="str">
        <f t="shared" si="0"/>
        <v>Friday</v>
      </c>
      <c r="D15" s="6" t="s">
        <v>214</v>
      </c>
      <c r="E15" s="6" t="s">
        <v>230</v>
      </c>
      <c r="G15" s="18">
        <v>191</v>
      </c>
      <c r="H15" t="s">
        <v>216</v>
      </c>
      <c r="I15" s="6"/>
      <c r="L15" s="30"/>
      <c r="M15" s="79"/>
      <c r="N15"/>
      <c r="O15" s="30"/>
      <c r="P15" s="30"/>
      <c r="Q15" s="118"/>
      <c r="R15" s="30"/>
      <c r="S15" s="116"/>
      <c r="T15" s="30"/>
    </row>
    <row r="16" spans="1:22" ht="15.75" customHeight="1" x14ac:dyDescent="0.2">
      <c r="A16" s="10">
        <f t="shared" si="1"/>
        <v>15</v>
      </c>
      <c r="B16" s="19">
        <v>45908</v>
      </c>
      <c r="C16" s="24" t="str">
        <f t="shared" si="0"/>
        <v>Monday</v>
      </c>
      <c r="D16" s="6" t="s">
        <v>214</v>
      </c>
      <c r="E16" s="6" t="s">
        <v>231</v>
      </c>
      <c r="F16" s="6"/>
      <c r="G16" s="18">
        <v>40</v>
      </c>
      <c r="H16" t="s">
        <v>182</v>
      </c>
      <c r="I16" s="6"/>
      <c r="K16"/>
      <c r="Q16" s="118"/>
      <c r="S16" s="116"/>
      <c r="T16" s="30"/>
    </row>
    <row r="17" spans="1:20" ht="12.75" x14ac:dyDescent="0.2">
      <c r="A17" s="10">
        <f t="shared" si="1"/>
        <v>16</v>
      </c>
      <c r="B17" s="19">
        <v>45908</v>
      </c>
      <c r="C17" s="24" t="str">
        <f t="shared" si="0"/>
        <v>Monday</v>
      </c>
      <c r="D17" s="6" t="s">
        <v>214</v>
      </c>
      <c r="E17" s="6" t="s">
        <v>232</v>
      </c>
      <c r="F17" s="6"/>
      <c r="G17" s="18">
        <v>619</v>
      </c>
      <c r="H17" s="6" t="s">
        <v>216</v>
      </c>
      <c r="I17" s="6"/>
      <c r="Q17" s="118"/>
      <c r="S17" s="116"/>
      <c r="T17" s="30"/>
    </row>
    <row r="18" spans="1:20" ht="12.75" x14ac:dyDescent="0.2">
      <c r="A18" s="10">
        <f t="shared" si="1"/>
        <v>17</v>
      </c>
      <c r="B18" s="19">
        <v>45909</v>
      </c>
      <c r="C18" s="24" t="str">
        <f t="shared" si="0"/>
        <v>Tuesday</v>
      </c>
      <c r="D18" s="6" t="s">
        <v>214</v>
      </c>
      <c r="E18" s="6" t="s">
        <v>215</v>
      </c>
      <c r="F18" s="6"/>
      <c r="G18" s="18">
        <v>105</v>
      </c>
      <c r="H18" t="s">
        <v>216</v>
      </c>
      <c r="I18" s="6"/>
      <c r="J18" s="61" t="s">
        <v>95</v>
      </c>
      <c r="K18" t="s">
        <v>233</v>
      </c>
      <c r="L18"/>
      <c r="S18" s="116"/>
      <c r="T18" s="30"/>
    </row>
    <row r="19" spans="1:20" ht="15.75" customHeight="1" x14ac:dyDescent="0.2">
      <c r="A19" s="10">
        <f t="shared" si="1"/>
        <v>18</v>
      </c>
      <c r="B19" s="19">
        <v>45909</v>
      </c>
      <c r="C19" s="24" t="str">
        <f t="shared" si="0"/>
        <v>Tuesday</v>
      </c>
      <c r="D19" s="6" t="s">
        <v>214</v>
      </c>
      <c r="E19" s="6" t="s">
        <v>234</v>
      </c>
      <c r="F19" s="6"/>
      <c r="G19" s="18">
        <v>1134</v>
      </c>
      <c r="H19" t="s">
        <v>216</v>
      </c>
      <c r="I19" s="6"/>
      <c r="J19" s="17" t="s">
        <v>235</v>
      </c>
      <c r="K19" s="30">
        <v>26070.76</v>
      </c>
      <c r="L19"/>
      <c r="T19" s="30"/>
    </row>
    <row r="20" spans="1:20" ht="15.75" customHeight="1" x14ac:dyDescent="0.2">
      <c r="A20" s="10">
        <f t="shared" si="1"/>
        <v>19</v>
      </c>
      <c r="B20" s="19">
        <v>45909</v>
      </c>
      <c r="C20" s="24" t="str">
        <f t="shared" si="0"/>
        <v>Tuesday</v>
      </c>
      <c r="D20" s="6" t="s">
        <v>214</v>
      </c>
      <c r="E20" s="6" t="s">
        <v>236</v>
      </c>
      <c r="F20" s="6"/>
      <c r="G20" s="18">
        <v>140</v>
      </c>
      <c r="H20" s="6" t="s">
        <v>216</v>
      </c>
      <c r="I20" s="6"/>
      <c r="J20" s="17" t="s">
        <v>237</v>
      </c>
      <c r="K20" s="30">
        <v>2475</v>
      </c>
      <c r="L20"/>
    </row>
    <row r="21" spans="1:20" ht="15.75" customHeight="1" x14ac:dyDescent="0.2">
      <c r="A21" s="10">
        <f t="shared" si="1"/>
        <v>20</v>
      </c>
      <c r="B21" s="19">
        <v>45909</v>
      </c>
      <c r="C21" s="24" t="str">
        <f t="shared" si="0"/>
        <v>Tuesday</v>
      </c>
      <c r="D21" s="6" t="s">
        <v>214</v>
      </c>
      <c r="E21" s="6" t="s">
        <v>215</v>
      </c>
      <c r="F21" s="6"/>
      <c r="G21" s="18">
        <v>179</v>
      </c>
      <c r="H21" t="s">
        <v>25</v>
      </c>
      <c r="I21" s="6"/>
      <c r="J21" s="17" t="s">
        <v>223</v>
      </c>
      <c r="K21" s="30">
        <v>500</v>
      </c>
      <c r="L21"/>
      <c r="T21" s="30"/>
    </row>
    <row r="22" spans="1:20" ht="15.75" customHeight="1" x14ac:dyDescent="0.2">
      <c r="A22" s="10">
        <f t="shared" si="1"/>
        <v>21</v>
      </c>
      <c r="B22" s="19">
        <v>45909</v>
      </c>
      <c r="C22" s="24" t="str">
        <f t="shared" si="0"/>
        <v>Tuesday</v>
      </c>
      <c r="D22" s="6" t="s">
        <v>214</v>
      </c>
      <c r="E22" s="6" t="s">
        <v>238</v>
      </c>
      <c r="F22" s="6"/>
      <c r="G22" s="18">
        <v>120</v>
      </c>
      <c r="H22" s="6" t="s">
        <v>216</v>
      </c>
      <c r="I22" s="6"/>
      <c r="J22" s="17" t="s">
        <v>220</v>
      </c>
      <c r="K22" s="30">
        <v>5500</v>
      </c>
      <c r="L22"/>
    </row>
    <row r="23" spans="1:20" ht="15.75" customHeight="1" x14ac:dyDescent="0.2">
      <c r="A23" s="10">
        <f t="shared" si="1"/>
        <v>22</v>
      </c>
      <c r="B23" s="19">
        <v>45910</v>
      </c>
      <c r="C23" s="24" t="str">
        <f t="shared" si="0"/>
        <v>Wednesday</v>
      </c>
      <c r="D23" s="6" t="s">
        <v>214</v>
      </c>
      <c r="E23" s="6" t="s">
        <v>215</v>
      </c>
      <c r="F23" s="6"/>
      <c r="G23" s="18">
        <v>165</v>
      </c>
      <c r="H23" s="6" t="s">
        <v>216</v>
      </c>
      <c r="I23" s="6"/>
      <c r="J23" s="17" t="s">
        <v>239</v>
      </c>
      <c r="K23" s="30">
        <v>97653.98000000001</v>
      </c>
      <c r="L23"/>
      <c r="Q23"/>
    </row>
    <row r="24" spans="1:20" ht="15.75" customHeight="1" x14ac:dyDescent="0.2">
      <c r="A24" s="10">
        <f t="shared" si="1"/>
        <v>23</v>
      </c>
      <c r="B24" s="19">
        <v>45910</v>
      </c>
      <c r="C24" s="24" t="str">
        <f t="shared" si="0"/>
        <v>Wednesday</v>
      </c>
      <c r="D24" s="6" t="s">
        <v>19</v>
      </c>
      <c r="E24" s="6" t="s">
        <v>240</v>
      </c>
      <c r="F24" s="6" t="s">
        <v>241</v>
      </c>
      <c r="G24" s="18">
        <v>3000</v>
      </c>
      <c r="H24" s="6" t="s">
        <v>110</v>
      </c>
      <c r="I24" s="6"/>
      <c r="J24" s="17" t="s">
        <v>218</v>
      </c>
      <c r="K24" s="30">
        <v>5024.9799999999996</v>
      </c>
      <c r="L24"/>
      <c r="Q24" s="29"/>
    </row>
    <row r="25" spans="1:20" ht="15.75" customHeight="1" x14ac:dyDescent="0.2">
      <c r="A25" s="10">
        <f t="shared" si="1"/>
        <v>24</v>
      </c>
      <c r="B25" s="19">
        <v>45911</v>
      </c>
      <c r="C25" s="24" t="str">
        <f t="shared" si="0"/>
        <v>Thursday</v>
      </c>
      <c r="D25" s="6" t="s">
        <v>214</v>
      </c>
      <c r="E25" s="6" t="s">
        <v>215</v>
      </c>
      <c r="F25" s="6"/>
      <c r="G25" s="18">
        <v>120</v>
      </c>
      <c r="H25" s="6" t="s">
        <v>216</v>
      </c>
      <c r="I25" s="6"/>
      <c r="J25" s="17" t="s">
        <v>230</v>
      </c>
      <c r="K25" s="30">
        <v>180756.13</v>
      </c>
      <c r="L25"/>
      <c r="Q25" s="6"/>
    </row>
    <row r="26" spans="1:20" ht="15.75" customHeight="1" x14ac:dyDescent="0.2">
      <c r="A26" s="10">
        <f t="shared" si="1"/>
        <v>25</v>
      </c>
      <c r="B26" s="19">
        <v>45912</v>
      </c>
      <c r="C26" s="24" t="str">
        <f t="shared" si="0"/>
        <v>Friday</v>
      </c>
      <c r="D26" s="6" t="s">
        <v>214</v>
      </c>
      <c r="E26" s="6" t="s">
        <v>242</v>
      </c>
      <c r="F26" s="6"/>
      <c r="G26" s="18">
        <v>385</v>
      </c>
      <c r="H26" s="6" t="s">
        <v>216</v>
      </c>
      <c r="I26" s="6"/>
      <c r="J26" s="17" t="s">
        <v>69</v>
      </c>
      <c r="K26" s="30">
        <v>280500</v>
      </c>
      <c r="L26"/>
      <c r="Q26"/>
    </row>
    <row r="27" spans="1:20" ht="15.75" customHeight="1" x14ac:dyDescent="0.2">
      <c r="A27" s="10">
        <f t="shared" si="1"/>
        <v>26</v>
      </c>
      <c r="B27" s="19">
        <v>45915</v>
      </c>
      <c r="C27" s="24" t="str">
        <f t="shared" si="0"/>
        <v>Monday</v>
      </c>
      <c r="D27" s="6" t="s">
        <v>214</v>
      </c>
      <c r="E27" s="6" t="s">
        <v>215</v>
      </c>
      <c r="F27" s="6"/>
      <c r="G27" s="18">
        <v>165</v>
      </c>
      <c r="H27" s="6" t="s">
        <v>22</v>
      </c>
      <c r="I27" s="6"/>
      <c r="J27" s="17" t="s">
        <v>214</v>
      </c>
      <c r="K27" s="30">
        <v>227225.39000000004</v>
      </c>
      <c r="L27"/>
    </row>
    <row r="28" spans="1:20" ht="15.75" customHeight="1" x14ac:dyDescent="0.2">
      <c r="A28" s="10">
        <f t="shared" si="1"/>
        <v>27</v>
      </c>
      <c r="B28" s="19">
        <v>45916</v>
      </c>
      <c r="C28" s="24" t="str">
        <f t="shared" si="0"/>
        <v>Tuesday</v>
      </c>
      <c r="D28" s="6" t="s">
        <v>214</v>
      </c>
      <c r="E28" s="6" t="s">
        <v>243</v>
      </c>
      <c r="F28" s="6"/>
      <c r="G28" s="18">
        <v>542</v>
      </c>
      <c r="H28" s="6" t="s">
        <v>216</v>
      </c>
      <c r="I28" s="6"/>
      <c r="J28" s="17" t="s">
        <v>244</v>
      </c>
      <c r="K28" s="30">
        <v>15000</v>
      </c>
      <c r="L28"/>
    </row>
    <row r="29" spans="1:20" ht="12.75" x14ac:dyDescent="0.2">
      <c r="A29" s="10">
        <f t="shared" si="1"/>
        <v>28</v>
      </c>
      <c r="B29" s="19">
        <v>45916</v>
      </c>
      <c r="C29" s="24" t="str">
        <f t="shared" si="0"/>
        <v>Tuesday</v>
      </c>
      <c r="D29" s="6" t="s">
        <v>214</v>
      </c>
      <c r="E29" s="6" t="s">
        <v>215</v>
      </c>
      <c r="F29" s="6"/>
      <c r="G29" s="18">
        <v>545</v>
      </c>
      <c r="H29" s="6" t="s">
        <v>216</v>
      </c>
      <c r="I29" s="6"/>
      <c r="J29" s="17" t="s">
        <v>245</v>
      </c>
      <c r="K29" s="30">
        <v>5000</v>
      </c>
      <c r="L29"/>
    </row>
    <row r="30" spans="1:20" ht="12.75" x14ac:dyDescent="0.2">
      <c r="A30" s="10">
        <f t="shared" si="1"/>
        <v>29</v>
      </c>
      <c r="B30" s="19">
        <v>45917</v>
      </c>
      <c r="C30" s="24" t="str">
        <f t="shared" si="0"/>
        <v>Wednesday</v>
      </c>
      <c r="D30" s="6" t="s">
        <v>214</v>
      </c>
      <c r="E30" s="6" t="s">
        <v>215</v>
      </c>
      <c r="F30" s="6"/>
      <c r="G30" s="18">
        <v>260</v>
      </c>
      <c r="H30" t="s">
        <v>25</v>
      </c>
      <c r="I30" s="6"/>
      <c r="J30" s="17" t="s">
        <v>19</v>
      </c>
      <c r="K30" s="30">
        <v>1424908.2433333334</v>
      </c>
      <c r="L30"/>
    </row>
    <row r="31" spans="1:20" ht="12.75" x14ac:dyDescent="0.2">
      <c r="A31" s="10">
        <f t="shared" si="1"/>
        <v>30</v>
      </c>
      <c r="B31" s="19">
        <v>45917</v>
      </c>
      <c r="C31" s="24" t="str">
        <f t="shared" si="0"/>
        <v>Wednesday</v>
      </c>
      <c r="D31" s="6" t="s">
        <v>214</v>
      </c>
      <c r="E31" s="6" t="s">
        <v>246</v>
      </c>
      <c r="F31" s="6"/>
      <c r="G31" s="18">
        <v>667</v>
      </c>
      <c r="H31" t="s">
        <v>25</v>
      </c>
      <c r="I31" s="6"/>
      <c r="J31" s="17" t="s">
        <v>247</v>
      </c>
      <c r="K31" s="30">
        <v>-20187.599999999977</v>
      </c>
      <c r="L31"/>
    </row>
    <row r="32" spans="1:20" ht="12.75" x14ac:dyDescent="0.2">
      <c r="A32" s="10">
        <f t="shared" si="1"/>
        <v>31</v>
      </c>
      <c r="B32" s="19">
        <v>45918</v>
      </c>
      <c r="C32" s="24" t="str">
        <f t="shared" si="0"/>
        <v>Thursday</v>
      </c>
      <c r="D32" s="6" t="s">
        <v>214</v>
      </c>
      <c r="E32" s="6" t="s">
        <v>215</v>
      </c>
      <c r="F32" s="6"/>
      <c r="G32" s="18">
        <v>280</v>
      </c>
      <c r="H32" t="s">
        <v>216</v>
      </c>
      <c r="I32" s="6"/>
      <c r="J32" s="17" t="s">
        <v>124</v>
      </c>
      <c r="K32" s="30">
        <v>2250426.8833333333</v>
      </c>
      <c r="L32"/>
    </row>
    <row r="33" spans="1:12" ht="12.75" x14ac:dyDescent="0.2">
      <c r="A33" s="10">
        <f t="shared" si="1"/>
        <v>32</v>
      </c>
      <c r="B33" s="19">
        <v>45918</v>
      </c>
      <c r="C33" s="24" t="str">
        <f t="shared" si="0"/>
        <v>Thursday</v>
      </c>
      <c r="D33" s="6" t="s">
        <v>214</v>
      </c>
      <c r="E33" s="6" t="s">
        <v>248</v>
      </c>
      <c r="F33" s="6"/>
      <c r="G33" s="18">
        <v>1000</v>
      </c>
      <c r="H33" t="s">
        <v>216</v>
      </c>
      <c r="I33" s="6"/>
      <c r="K33"/>
      <c r="L33"/>
    </row>
    <row r="34" spans="1:12" ht="12.75" x14ac:dyDescent="0.2">
      <c r="A34" s="10">
        <f t="shared" si="1"/>
        <v>33</v>
      </c>
      <c r="B34" s="19">
        <v>45918</v>
      </c>
      <c r="C34" s="24" t="str">
        <f t="shared" si="0"/>
        <v>Thursday</v>
      </c>
      <c r="D34" s="6" t="s">
        <v>214</v>
      </c>
      <c r="E34" s="6" t="s">
        <v>249</v>
      </c>
      <c r="F34" s="6"/>
      <c r="G34" s="18">
        <v>260</v>
      </c>
      <c r="H34" t="s">
        <v>216</v>
      </c>
      <c r="I34" s="6"/>
      <c r="K34"/>
      <c r="L34"/>
    </row>
    <row r="35" spans="1:12" ht="12.75" x14ac:dyDescent="0.2">
      <c r="A35" s="10">
        <f t="shared" ref="A35:A66" si="8">A34+1</f>
        <v>34</v>
      </c>
      <c r="B35" s="19">
        <v>45918</v>
      </c>
      <c r="C35" s="24" t="str">
        <f t="shared" si="0"/>
        <v>Thursday</v>
      </c>
      <c r="D35" s="6" t="s">
        <v>214</v>
      </c>
      <c r="E35" s="6" t="s">
        <v>250</v>
      </c>
      <c r="F35" s="6"/>
      <c r="G35" s="18">
        <v>1005</v>
      </c>
      <c r="H35" t="s">
        <v>25</v>
      </c>
      <c r="I35" s="6"/>
      <c r="K35"/>
      <c r="L35"/>
    </row>
    <row r="36" spans="1:12" ht="12.75" x14ac:dyDescent="0.2">
      <c r="A36" s="10">
        <f t="shared" si="8"/>
        <v>35</v>
      </c>
      <c r="B36" s="19">
        <v>45920</v>
      </c>
      <c r="C36" s="24" t="str">
        <f t="shared" si="0"/>
        <v>Saturday</v>
      </c>
      <c r="D36" s="6" t="s">
        <v>251</v>
      </c>
      <c r="E36" s="6"/>
      <c r="F36" s="6" t="s">
        <v>252</v>
      </c>
      <c r="G36" s="18">
        <v>1623.97</v>
      </c>
      <c r="H36" s="6" t="s">
        <v>110</v>
      </c>
      <c r="I36" s="6"/>
      <c r="K36"/>
    </row>
    <row r="37" spans="1:12" ht="12.75" x14ac:dyDescent="0.2">
      <c r="A37" s="10">
        <f t="shared" si="8"/>
        <v>36</v>
      </c>
      <c r="B37" s="19">
        <v>45921</v>
      </c>
      <c r="C37" s="24" t="str">
        <f t="shared" si="0"/>
        <v>Sunday</v>
      </c>
      <c r="D37" s="6" t="s">
        <v>239</v>
      </c>
      <c r="E37" s="6"/>
      <c r="F37" s="6" t="s">
        <v>253</v>
      </c>
      <c r="G37" s="18">
        <v>179.66</v>
      </c>
      <c r="H37" s="6" t="s">
        <v>110</v>
      </c>
      <c r="I37" s="6"/>
      <c r="K37"/>
    </row>
    <row r="38" spans="1:12" ht="12.75" x14ac:dyDescent="0.2">
      <c r="A38" s="10">
        <f t="shared" si="8"/>
        <v>37</v>
      </c>
      <c r="B38" s="19">
        <v>45922</v>
      </c>
      <c r="C38" s="24" t="str">
        <f t="shared" si="0"/>
        <v>Monday</v>
      </c>
      <c r="D38" s="6" t="s">
        <v>214</v>
      </c>
      <c r="E38" s="6" t="s">
        <v>254</v>
      </c>
      <c r="F38" s="6"/>
      <c r="G38" s="18">
        <v>1000</v>
      </c>
      <c r="H38" t="s">
        <v>22</v>
      </c>
      <c r="I38" s="6"/>
      <c r="K38"/>
    </row>
    <row r="39" spans="1:12" ht="12.75" x14ac:dyDescent="0.2">
      <c r="A39" s="10">
        <f t="shared" si="8"/>
        <v>38</v>
      </c>
      <c r="B39" s="19">
        <v>45922</v>
      </c>
      <c r="C39" s="24" t="str">
        <f t="shared" si="0"/>
        <v>Monday</v>
      </c>
      <c r="D39" s="6" t="s">
        <v>255</v>
      </c>
      <c r="E39" s="6"/>
      <c r="F39" s="6" t="s">
        <v>256</v>
      </c>
      <c r="G39" s="18">
        <v>20000</v>
      </c>
      <c r="H39" t="s">
        <v>22</v>
      </c>
      <c r="I39" s="6"/>
      <c r="K39"/>
    </row>
    <row r="40" spans="1:12" ht="12.75" x14ac:dyDescent="0.2">
      <c r="A40" s="10">
        <f t="shared" si="8"/>
        <v>39</v>
      </c>
      <c r="B40" s="19">
        <v>45922</v>
      </c>
      <c r="C40" s="24" t="str">
        <f t="shared" si="0"/>
        <v>Monday</v>
      </c>
      <c r="D40" s="6" t="s">
        <v>255</v>
      </c>
      <c r="E40" s="6"/>
      <c r="F40" s="6" t="s">
        <v>257</v>
      </c>
      <c r="G40" s="18">
        <v>-20000</v>
      </c>
      <c r="H40" t="s">
        <v>110</v>
      </c>
      <c r="I40" s="6"/>
      <c r="K40"/>
    </row>
    <row r="41" spans="1:12" ht="12.75" x14ac:dyDescent="0.2">
      <c r="A41" s="10">
        <f t="shared" si="8"/>
        <v>40</v>
      </c>
      <c r="B41" s="19">
        <v>45922</v>
      </c>
      <c r="C41" s="24" t="str">
        <f t="shared" si="0"/>
        <v>Monday</v>
      </c>
      <c r="D41" s="6" t="s">
        <v>239</v>
      </c>
      <c r="E41" s="6" t="s">
        <v>258</v>
      </c>
      <c r="F41" s="6" t="s">
        <v>259</v>
      </c>
      <c r="G41" s="18">
        <v>32000</v>
      </c>
      <c r="H41" t="s">
        <v>110</v>
      </c>
      <c r="I41" s="6"/>
      <c r="K41"/>
    </row>
    <row r="42" spans="1:12" ht="12.75" x14ac:dyDescent="0.2">
      <c r="A42" s="10">
        <f t="shared" si="8"/>
        <v>41</v>
      </c>
      <c r="B42" s="19">
        <v>45923</v>
      </c>
      <c r="C42" s="24" t="str">
        <f t="shared" si="0"/>
        <v>Tuesday</v>
      </c>
      <c r="D42" s="6" t="s">
        <v>69</v>
      </c>
      <c r="E42" s="6" t="s">
        <v>211</v>
      </c>
      <c r="F42" s="6" t="s">
        <v>212</v>
      </c>
      <c r="G42" s="18">
        <v>20000</v>
      </c>
      <c r="H42" s="6" t="s">
        <v>22</v>
      </c>
      <c r="I42" s="6"/>
      <c r="K42"/>
    </row>
    <row r="43" spans="1:12" ht="12.75" x14ac:dyDescent="0.2">
      <c r="A43" s="10">
        <f t="shared" si="8"/>
        <v>42</v>
      </c>
      <c r="B43" s="19">
        <v>45924</v>
      </c>
      <c r="C43" s="24" t="str">
        <f t="shared" si="0"/>
        <v>Wednesday</v>
      </c>
      <c r="D43" s="6" t="s">
        <v>214</v>
      </c>
      <c r="E43" s="6" t="s">
        <v>248</v>
      </c>
      <c r="F43" s="6" t="s">
        <v>260</v>
      </c>
      <c r="G43" s="18">
        <v>2000</v>
      </c>
      <c r="H43" s="6" t="s">
        <v>22</v>
      </c>
      <c r="I43" s="6"/>
      <c r="K43"/>
    </row>
    <row r="44" spans="1:12" ht="12.75" x14ac:dyDescent="0.2">
      <c r="A44" s="10">
        <f t="shared" si="8"/>
        <v>43</v>
      </c>
      <c r="B44" s="19">
        <v>45924</v>
      </c>
      <c r="C44" s="24" t="str">
        <f t="shared" si="0"/>
        <v>Wednesday</v>
      </c>
      <c r="D44" s="6" t="s">
        <v>214</v>
      </c>
      <c r="E44" s="6" t="s">
        <v>230</v>
      </c>
      <c r="F44" s="6" t="s">
        <v>261</v>
      </c>
      <c r="G44" s="18">
        <v>230</v>
      </c>
      <c r="H44" s="6" t="s">
        <v>216</v>
      </c>
      <c r="I44" s="6"/>
      <c r="K44"/>
    </row>
    <row r="45" spans="1:12" ht="12.75" x14ac:dyDescent="0.2">
      <c r="A45" s="10">
        <f t="shared" si="8"/>
        <v>44</v>
      </c>
      <c r="B45" s="19">
        <v>45924</v>
      </c>
      <c r="C45" s="24" t="str">
        <f t="shared" si="0"/>
        <v>Wednesday</v>
      </c>
      <c r="D45" s="6" t="s">
        <v>214</v>
      </c>
      <c r="E45" s="6" t="s">
        <v>262</v>
      </c>
      <c r="F45" s="6"/>
      <c r="G45" s="18">
        <v>180</v>
      </c>
      <c r="H45" s="6" t="s">
        <v>182</v>
      </c>
      <c r="I45" s="6"/>
      <c r="K45"/>
    </row>
    <row r="46" spans="1:12" ht="12.75" x14ac:dyDescent="0.2">
      <c r="A46" s="10">
        <f t="shared" si="8"/>
        <v>45</v>
      </c>
      <c r="B46" s="19">
        <v>45925</v>
      </c>
      <c r="C46" s="24" t="str">
        <f t="shared" si="0"/>
        <v>Thursday</v>
      </c>
      <c r="D46" s="6" t="s">
        <v>214</v>
      </c>
      <c r="E46" s="6" t="s">
        <v>215</v>
      </c>
      <c r="F46" s="6"/>
      <c r="G46" s="18">
        <v>240</v>
      </c>
      <c r="H46" s="6" t="s">
        <v>216</v>
      </c>
      <c r="I46" s="6"/>
      <c r="K46"/>
    </row>
    <row r="47" spans="1:12" ht="12.75" x14ac:dyDescent="0.2">
      <c r="A47" s="10">
        <f t="shared" si="8"/>
        <v>46</v>
      </c>
      <c r="B47" s="19">
        <v>45925</v>
      </c>
      <c r="C47" s="24" t="str">
        <f t="shared" si="0"/>
        <v>Thursday</v>
      </c>
      <c r="D47" s="6" t="s">
        <v>214</v>
      </c>
      <c r="E47" s="6" t="s">
        <v>215</v>
      </c>
      <c r="F47" s="6"/>
      <c r="G47" s="18">
        <v>45</v>
      </c>
      <c r="H47" s="6" t="s">
        <v>182</v>
      </c>
      <c r="I47" s="6"/>
      <c r="K47"/>
    </row>
    <row r="48" spans="1:12" ht="12.75" x14ac:dyDescent="0.2">
      <c r="A48" s="10">
        <f t="shared" si="8"/>
        <v>47</v>
      </c>
      <c r="B48" s="19">
        <v>45925</v>
      </c>
      <c r="C48" s="24" t="str">
        <f t="shared" si="0"/>
        <v>Thursday</v>
      </c>
      <c r="D48" s="6" t="s">
        <v>214</v>
      </c>
      <c r="E48" s="6" t="s">
        <v>263</v>
      </c>
      <c r="F48" s="6"/>
      <c r="G48" s="18">
        <v>480</v>
      </c>
      <c r="H48" s="6" t="s">
        <v>182</v>
      </c>
      <c r="I48" s="6"/>
      <c r="K48"/>
    </row>
    <row r="49" spans="1:11" ht="12.75" x14ac:dyDescent="0.2">
      <c r="A49" s="10">
        <f t="shared" si="8"/>
        <v>48</v>
      </c>
      <c r="B49" s="19">
        <v>45929</v>
      </c>
      <c r="C49" s="24" t="str">
        <f t="shared" si="0"/>
        <v>Monday</v>
      </c>
      <c r="D49" s="6" t="s">
        <v>214</v>
      </c>
      <c r="E49" s="6" t="s">
        <v>264</v>
      </c>
      <c r="F49" s="6"/>
      <c r="G49" s="18">
        <v>1000</v>
      </c>
      <c r="H49" s="6" t="s">
        <v>216</v>
      </c>
      <c r="I49" s="6"/>
      <c r="K49"/>
    </row>
    <row r="50" spans="1:11" ht="12.75" x14ac:dyDescent="0.2">
      <c r="A50" s="10">
        <f t="shared" si="8"/>
        <v>49</v>
      </c>
      <c r="B50" s="19">
        <v>45930</v>
      </c>
      <c r="C50" s="24" t="s">
        <v>265</v>
      </c>
      <c r="D50" s="6" t="s">
        <v>214</v>
      </c>
      <c r="E50" s="6" t="s">
        <v>230</v>
      </c>
      <c r="F50" s="6" t="s">
        <v>261</v>
      </c>
      <c r="G50" s="18">
        <v>210</v>
      </c>
      <c r="H50" s="6" t="s">
        <v>216</v>
      </c>
      <c r="I50" s="6"/>
      <c r="K50"/>
    </row>
    <row r="51" spans="1:11" ht="12.75" x14ac:dyDescent="0.2">
      <c r="A51" s="10">
        <f t="shared" si="8"/>
        <v>50</v>
      </c>
      <c r="B51" s="19">
        <v>45931</v>
      </c>
      <c r="C51" s="24" t="str">
        <f>TEXT(B51,"dddd")</f>
        <v>Wednesday</v>
      </c>
      <c r="D51" s="6" t="s">
        <v>214</v>
      </c>
      <c r="E51" s="6"/>
      <c r="F51" s="6" t="s">
        <v>266</v>
      </c>
      <c r="G51" s="18">
        <v>450</v>
      </c>
      <c r="H51" t="s">
        <v>182</v>
      </c>
      <c r="I51" s="6"/>
      <c r="K51"/>
    </row>
    <row r="52" spans="1:11" ht="12.75" x14ac:dyDescent="0.2">
      <c r="A52" s="10">
        <f t="shared" si="8"/>
        <v>51</v>
      </c>
      <c r="B52" s="19">
        <v>45931</v>
      </c>
      <c r="C52" s="24" t="str">
        <f>TEXT(B52,"dddd")</f>
        <v>Wednesday</v>
      </c>
      <c r="D52" s="6" t="s">
        <v>214</v>
      </c>
      <c r="E52" s="6"/>
      <c r="F52" s="6" t="s">
        <v>231</v>
      </c>
      <c r="G52" s="18">
        <v>965</v>
      </c>
      <c r="H52" s="6" t="s">
        <v>182</v>
      </c>
      <c r="I52" s="6"/>
      <c r="K52"/>
    </row>
    <row r="53" spans="1:11" ht="12.75" x14ac:dyDescent="0.2">
      <c r="A53" s="10">
        <f t="shared" si="8"/>
        <v>52</v>
      </c>
      <c r="B53" s="19">
        <v>45931</v>
      </c>
      <c r="C53" s="24" t="str">
        <f>TEXT(B53,"dddd")</f>
        <v>Wednesday</v>
      </c>
      <c r="D53" s="6" t="s">
        <v>230</v>
      </c>
      <c r="E53" s="6"/>
      <c r="F53" s="6" t="s">
        <v>267</v>
      </c>
      <c r="G53" s="18">
        <v>480</v>
      </c>
      <c r="H53" s="6" t="s">
        <v>22</v>
      </c>
      <c r="I53" s="6"/>
      <c r="K53"/>
    </row>
    <row r="54" spans="1:11" ht="12.75" x14ac:dyDescent="0.2">
      <c r="A54" s="10">
        <f t="shared" si="8"/>
        <v>53</v>
      </c>
      <c r="B54" s="19">
        <v>45931</v>
      </c>
      <c r="C54" s="24" t="str">
        <f>TEXT(B54,"dddd")</f>
        <v>Wednesday</v>
      </c>
      <c r="D54" s="6" t="s">
        <v>230</v>
      </c>
      <c r="E54" s="6"/>
      <c r="F54" s="6" t="s">
        <v>268</v>
      </c>
      <c r="G54" s="18">
        <v>320</v>
      </c>
      <c r="H54" s="6" t="s">
        <v>182</v>
      </c>
      <c r="I54" s="6"/>
      <c r="K54"/>
    </row>
    <row r="55" spans="1:11" ht="12.75" x14ac:dyDescent="0.2">
      <c r="A55" s="10">
        <f t="shared" si="8"/>
        <v>54</v>
      </c>
      <c r="B55" s="19">
        <v>45936</v>
      </c>
      <c r="C55" s="24" t="s">
        <v>269</v>
      </c>
      <c r="D55" s="6" t="s">
        <v>214</v>
      </c>
      <c r="E55" s="6" t="s">
        <v>230</v>
      </c>
      <c r="F55" s="6" t="s">
        <v>261</v>
      </c>
      <c r="G55" s="18">
        <v>238</v>
      </c>
      <c r="H55" s="6" t="s">
        <v>216</v>
      </c>
      <c r="I55" s="6"/>
      <c r="K55"/>
    </row>
    <row r="56" spans="1:11" ht="12.75" x14ac:dyDescent="0.2">
      <c r="A56" s="10">
        <f t="shared" si="8"/>
        <v>55</v>
      </c>
      <c r="B56" s="19">
        <v>45936</v>
      </c>
      <c r="C56" s="24" t="str">
        <f t="shared" ref="C56:C119" si="9">TEXT(B56,"dddd")</f>
        <v>Monday</v>
      </c>
      <c r="D56" s="6" t="s">
        <v>69</v>
      </c>
      <c r="E56" s="6" t="s">
        <v>211</v>
      </c>
      <c r="F56" t="s">
        <v>270</v>
      </c>
      <c r="G56" s="18">
        <v>20000</v>
      </c>
      <c r="H56" s="6" t="s">
        <v>110</v>
      </c>
      <c r="I56" s="6"/>
      <c r="K56"/>
    </row>
    <row r="57" spans="1:11" ht="12.75" x14ac:dyDescent="0.2">
      <c r="A57" s="10">
        <f t="shared" si="8"/>
        <v>56</v>
      </c>
      <c r="B57" s="19">
        <v>45936</v>
      </c>
      <c r="C57" s="24" t="str">
        <f t="shared" si="9"/>
        <v>Monday</v>
      </c>
      <c r="D57" s="6" t="s">
        <v>69</v>
      </c>
      <c r="E57" s="6" t="s">
        <v>211</v>
      </c>
      <c r="F57" s="6" t="s">
        <v>212</v>
      </c>
      <c r="G57" s="18">
        <v>-20000</v>
      </c>
      <c r="H57" s="6" t="s">
        <v>22</v>
      </c>
      <c r="I57" s="6"/>
      <c r="K57"/>
    </row>
    <row r="58" spans="1:11" ht="12.75" x14ac:dyDescent="0.2">
      <c r="A58" s="10">
        <f t="shared" si="8"/>
        <v>57</v>
      </c>
      <c r="B58" s="19">
        <v>45936</v>
      </c>
      <c r="C58" s="24" t="str">
        <f t="shared" si="9"/>
        <v>Monday</v>
      </c>
      <c r="D58" s="6" t="s">
        <v>69</v>
      </c>
      <c r="E58" s="6" t="s">
        <v>211</v>
      </c>
      <c r="F58" s="6" t="s">
        <v>212</v>
      </c>
      <c r="G58" s="18">
        <v>20000</v>
      </c>
      <c r="H58" s="6" t="s">
        <v>22</v>
      </c>
      <c r="I58" s="6"/>
      <c r="K58"/>
    </row>
    <row r="59" spans="1:11" ht="12.75" x14ac:dyDescent="0.2">
      <c r="A59" s="10">
        <f t="shared" si="8"/>
        <v>58</v>
      </c>
      <c r="B59" s="19">
        <v>45937</v>
      </c>
      <c r="C59" s="24" t="str">
        <f t="shared" si="9"/>
        <v>Tuesday</v>
      </c>
      <c r="D59" t="s">
        <v>244</v>
      </c>
      <c r="E59" s="6" t="s">
        <v>19</v>
      </c>
      <c r="F59" s="6" t="s">
        <v>271</v>
      </c>
      <c r="G59" s="18">
        <v>-80000</v>
      </c>
      <c r="H59" s="6" t="s">
        <v>25</v>
      </c>
      <c r="I59" s="6"/>
      <c r="K59"/>
    </row>
    <row r="60" spans="1:11" ht="12.75" x14ac:dyDescent="0.2">
      <c r="A60" s="10">
        <f t="shared" si="8"/>
        <v>59</v>
      </c>
      <c r="B60" s="19">
        <v>45937</v>
      </c>
      <c r="C60" s="24" t="str">
        <f t="shared" si="9"/>
        <v>Tuesday</v>
      </c>
      <c r="D60" t="s">
        <v>244</v>
      </c>
      <c r="E60" s="6" t="s">
        <v>19</v>
      </c>
      <c r="F60" t="s">
        <v>272</v>
      </c>
      <c r="G60" s="18">
        <v>80000</v>
      </c>
      <c r="H60" s="6" t="s">
        <v>110</v>
      </c>
      <c r="I60" s="6"/>
      <c r="K60"/>
    </row>
    <row r="61" spans="1:11" ht="12.75" x14ac:dyDescent="0.2">
      <c r="A61" s="10">
        <f t="shared" si="8"/>
        <v>60</v>
      </c>
      <c r="B61" s="19">
        <v>45937</v>
      </c>
      <c r="C61" s="24" t="str">
        <f t="shared" si="9"/>
        <v>Tuesday</v>
      </c>
      <c r="D61" t="s">
        <v>244</v>
      </c>
      <c r="E61" s="6" t="s">
        <v>19</v>
      </c>
      <c r="F61" s="6" t="s">
        <v>273</v>
      </c>
      <c r="G61" s="18">
        <v>61500</v>
      </c>
      <c r="H61" t="s">
        <v>25</v>
      </c>
      <c r="I61" s="6"/>
      <c r="K61"/>
    </row>
    <row r="62" spans="1:11" ht="12.75" x14ac:dyDescent="0.2">
      <c r="A62" s="10">
        <f t="shared" si="8"/>
        <v>61</v>
      </c>
      <c r="B62" s="19">
        <v>45937</v>
      </c>
      <c r="C62" s="24" t="str">
        <f t="shared" si="9"/>
        <v>Tuesday</v>
      </c>
      <c r="D62" t="s">
        <v>244</v>
      </c>
      <c r="E62" s="6" t="s">
        <v>19</v>
      </c>
      <c r="F62" s="6" t="s">
        <v>274</v>
      </c>
      <c r="G62" s="18">
        <v>-61500</v>
      </c>
      <c r="H62" t="s">
        <v>185</v>
      </c>
      <c r="I62" s="6"/>
      <c r="K62"/>
    </row>
    <row r="63" spans="1:11" ht="12.75" x14ac:dyDescent="0.2">
      <c r="A63" s="10">
        <f t="shared" si="8"/>
        <v>62</v>
      </c>
      <c r="B63" s="19">
        <v>45937</v>
      </c>
      <c r="C63" s="24" t="str">
        <f t="shared" si="9"/>
        <v>Tuesday</v>
      </c>
      <c r="D63" t="s">
        <v>244</v>
      </c>
      <c r="E63" s="6" t="s">
        <v>19</v>
      </c>
      <c r="F63" s="6" t="s">
        <v>273</v>
      </c>
      <c r="G63" s="18">
        <v>18500</v>
      </c>
      <c r="H63" t="s">
        <v>25</v>
      </c>
      <c r="I63" s="6"/>
      <c r="K63"/>
    </row>
    <row r="64" spans="1:11" ht="12.75" x14ac:dyDescent="0.2">
      <c r="A64" s="10">
        <f t="shared" si="8"/>
        <v>63</v>
      </c>
      <c r="B64" s="19">
        <v>45937</v>
      </c>
      <c r="C64" s="24" t="str">
        <f t="shared" si="9"/>
        <v>Tuesday</v>
      </c>
      <c r="D64" t="s">
        <v>244</v>
      </c>
      <c r="E64" s="6" t="s">
        <v>19</v>
      </c>
      <c r="F64" s="6" t="s">
        <v>274</v>
      </c>
      <c r="G64" s="18">
        <v>-18500</v>
      </c>
      <c r="H64" s="6" t="s">
        <v>110</v>
      </c>
      <c r="I64" s="6"/>
      <c r="K64"/>
    </row>
    <row r="65" spans="1:11" ht="12.75" x14ac:dyDescent="0.2">
      <c r="A65" s="10">
        <f t="shared" si="8"/>
        <v>64</v>
      </c>
      <c r="B65" s="19">
        <v>45937</v>
      </c>
      <c r="C65" s="24" t="str">
        <f t="shared" si="9"/>
        <v>Tuesday</v>
      </c>
      <c r="D65" s="57" t="s">
        <v>19</v>
      </c>
      <c r="E65" s="6" t="s">
        <v>19</v>
      </c>
      <c r="F65" t="s">
        <v>275</v>
      </c>
      <c r="G65" s="18">
        <v>31499.999999999996</v>
      </c>
      <c r="H65" t="s">
        <v>185</v>
      </c>
      <c r="I65" s="6"/>
      <c r="K65"/>
    </row>
    <row r="66" spans="1:11" ht="12.75" x14ac:dyDescent="0.2">
      <c r="A66" s="10">
        <f t="shared" si="8"/>
        <v>65</v>
      </c>
      <c r="B66" s="19">
        <v>45937</v>
      </c>
      <c r="C66" s="24" t="str">
        <f t="shared" si="9"/>
        <v>Tuesday</v>
      </c>
      <c r="D66" s="57" t="s">
        <v>19</v>
      </c>
      <c r="E66" s="6" t="s">
        <v>19</v>
      </c>
      <c r="F66" t="s">
        <v>276</v>
      </c>
      <c r="G66" s="18">
        <v>30000</v>
      </c>
      <c r="H66" t="s">
        <v>185</v>
      </c>
      <c r="I66" s="6"/>
      <c r="K66"/>
    </row>
    <row r="67" spans="1:11" ht="12.75" x14ac:dyDescent="0.2">
      <c r="A67" s="10">
        <f t="shared" ref="A67:A98" si="10">A66+1</f>
        <v>66</v>
      </c>
      <c r="B67" s="19">
        <v>45937</v>
      </c>
      <c r="C67" s="24" t="str">
        <f t="shared" si="9"/>
        <v>Tuesday</v>
      </c>
      <c r="D67" s="57" t="s">
        <v>19</v>
      </c>
      <c r="E67" s="6" t="s">
        <v>19</v>
      </c>
      <c r="F67" t="s">
        <v>277</v>
      </c>
      <c r="G67" s="18">
        <v>40000</v>
      </c>
      <c r="H67" s="6" t="s">
        <v>110</v>
      </c>
      <c r="I67" s="6"/>
      <c r="K67"/>
    </row>
    <row r="68" spans="1:11" ht="12.75" x14ac:dyDescent="0.2">
      <c r="A68" s="10">
        <f t="shared" si="10"/>
        <v>67</v>
      </c>
      <c r="B68" s="19">
        <v>45937</v>
      </c>
      <c r="C68" s="24" t="str">
        <f t="shared" si="9"/>
        <v>Tuesday</v>
      </c>
      <c r="D68" s="57" t="s">
        <v>19</v>
      </c>
      <c r="E68" s="6" t="s">
        <v>19</v>
      </c>
      <c r="F68" t="s">
        <v>278</v>
      </c>
      <c r="G68" s="18">
        <v>20000</v>
      </c>
      <c r="H68" s="6" t="s">
        <v>110</v>
      </c>
      <c r="I68" s="6"/>
      <c r="K68"/>
    </row>
    <row r="69" spans="1:11" ht="12.75" x14ac:dyDescent="0.2">
      <c r="A69" s="10">
        <f t="shared" si="10"/>
        <v>68</v>
      </c>
      <c r="B69" s="19">
        <v>45937</v>
      </c>
      <c r="C69" s="24" t="str">
        <f t="shared" si="9"/>
        <v>Tuesday</v>
      </c>
      <c r="D69" s="57" t="s">
        <v>19</v>
      </c>
      <c r="E69" s="6" t="s">
        <v>19</v>
      </c>
      <c r="F69" t="s">
        <v>279</v>
      </c>
      <c r="G69" s="18">
        <v>8000</v>
      </c>
      <c r="H69" s="6" t="s">
        <v>110</v>
      </c>
      <c r="I69" s="6"/>
      <c r="K69"/>
    </row>
    <row r="70" spans="1:11" ht="12.75" x14ac:dyDescent="0.2">
      <c r="A70" s="10">
        <f t="shared" si="10"/>
        <v>69</v>
      </c>
      <c r="B70" s="19">
        <v>45937</v>
      </c>
      <c r="C70" s="24" t="str">
        <f t="shared" si="9"/>
        <v>Tuesday</v>
      </c>
      <c r="D70" s="57" t="s">
        <v>19</v>
      </c>
      <c r="E70" s="6" t="s">
        <v>19</v>
      </c>
      <c r="F70" t="s">
        <v>280</v>
      </c>
      <c r="G70" s="18">
        <v>6000</v>
      </c>
      <c r="H70" s="6" t="s">
        <v>110</v>
      </c>
      <c r="I70" s="6"/>
      <c r="K70"/>
    </row>
    <row r="71" spans="1:11" ht="12.75" x14ac:dyDescent="0.2">
      <c r="A71" s="10">
        <f t="shared" si="10"/>
        <v>70</v>
      </c>
      <c r="B71" s="19">
        <v>45937</v>
      </c>
      <c r="C71" s="24" t="str">
        <f t="shared" si="9"/>
        <v>Tuesday</v>
      </c>
      <c r="D71" s="57" t="s">
        <v>19</v>
      </c>
      <c r="E71" s="6" t="s">
        <v>19</v>
      </c>
      <c r="F71" t="s">
        <v>281</v>
      </c>
      <c r="G71" s="18">
        <v>20000</v>
      </c>
      <c r="H71" s="6" t="s">
        <v>110</v>
      </c>
      <c r="I71" s="6"/>
      <c r="K71"/>
    </row>
    <row r="72" spans="1:11" ht="12.75" x14ac:dyDescent="0.2">
      <c r="A72" s="10">
        <f t="shared" si="10"/>
        <v>71</v>
      </c>
      <c r="B72" s="19">
        <v>45937</v>
      </c>
      <c r="C72" s="24" t="str">
        <f t="shared" si="9"/>
        <v>Tuesday</v>
      </c>
      <c r="D72" t="s">
        <v>247</v>
      </c>
      <c r="E72" s="6"/>
      <c r="F72" t="s">
        <v>282</v>
      </c>
      <c r="G72" s="18">
        <v>5000</v>
      </c>
      <c r="H72" s="6" t="s">
        <v>110</v>
      </c>
      <c r="I72" s="6"/>
      <c r="K72"/>
    </row>
    <row r="73" spans="1:11" ht="12.75" x14ac:dyDescent="0.2">
      <c r="A73" s="10">
        <f t="shared" si="10"/>
        <v>72</v>
      </c>
      <c r="B73" s="19">
        <v>45937</v>
      </c>
      <c r="C73" s="24" t="str">
        <f t="shared" si="9"/>
        <v>Tuesday</v>
      </c>
      <c r="D73" s="6" t="s">
        <v>214</v>
      </c>
      <c r="E73" s="6"/>
      <c r="F73" t="s">
        <v>283</v>
      </c>
      <c r="G73" s="18">
        <v>-5000</v>
      </c>
      <c r="H73" s="6" t="s">
        <v>22</v>
      </c>
      <c r="I73" s="6"/>
      <c r="K73"/>
    </row>
    <row r="74" spans="1:11" ht="12.75" x14ac:dyDescent="0.2">
      <c r="A74" s="10">
        <f t="shared" si="10"/>
        <v>73</v>
      </c>
      <c r="B74" s="19">
        <v>45937</v>
      </c>
      <c r="C74" s="24" t="str">
        <f t="shared" si="9"/>
        <v>Tuesday</v>
      </c>
      <c r="D74" t="s">
        <v>244</v>
      </c>
      <c r="E74" s="6" t="s">
        <v>248</v>
      </c>
      <c r="F74" t="s">
        <v>284</v>
      </c>
      <c r="G74" s="18">
        <v>5000</v>
      </c>
      <c r="H74" t="s">
        <v>22</v>
      </c>
      <c r="I74" s="6"/>
      <c r="K74"/>
    </row>
    <row r="75" spans="1:11" ht="12.75" x14ac:dyDescent="0.2">
      <c r="A75" s="10">
        <f t="shared" si="10"/>
        <v>74</v>
      </c>
      <c r="B75" s="19">
        <v>45937</v>
      </c>
      <c r="C75" s="24" t="str">
        <f t="shared" si="9"/>
        <v>Tuesday</v>
      </c>
      <c r="D75" s="6" t="s">
        <v>214</v>
      </c>
      <c r="E75" s="6" t="s">
        <v>230</v>
      </c>
      <c r="F75" s="6" t="s">
        <v>261</v>
      </c>
      <c r="G75" s="18">
        <v>248</v>
      </c>
      <c r="H75" s="6" t="s">
        <v>216</v>
      </c>
      <c r="I75" s="6"/>
      <c r="K75"/>
    </row>
    <row r="76" spans="1:11" ht="12.75" x14ac:dyDescent="0.2">
      <c r="A76" s="10">
        <f t="shared" si="10"/>
        <v>75</v>
      </c>
      <c r="B76" s="19">
        <v>45938</v>
      </c>
      <c r="C76" s="24" t="str">
        <f t="shared" si="9"/>
        <v>Wednesday</v>
      </c>
      <c r="D76" s="6" t="s">
        <v>214</v>
      </c>
      <c r="E76" s="6" t="s">
        <v>285</v>
      </c>
      <c r="F76" s="6" t="s">
        <v>286</v>
      </c>
      <c r="G76" s="18">
        <v>1200</v>
      </c>
      <c r="H76" t="s">
        <v>22</v>
      </c>
      <c r="I76" s="6"/>
      <c r="K76"/>
    </row>
    <row r="77" spans="1:11" ht="12.75" x14ac:dyDescent="0.2">
      <c r="A77" s="10">
        <f t="shared" si="10"/>
        <v>76</v>
      </c>
      <c r="B77" s="19">
        <v>45940</v>
      </c>
      <c r="C77" s="24" t="str">
        <f t="shared" si="9"/>
        <v>Friday</v>
      </c>
      <c r="D77" s="6" t="s">
        <v>214</v>
      </c>
      <c r="E77" s="6"/>
      <c r="F77" s="6" t="s">
        <v>287</v>
      </c>
      <c r="G77" s="18">
        <v>2000</v>
      </c>
      <c r="H77" s="6" t="s">
        <v>110</v>
      </c>
      <c r="I77" s="6"/>
      <c r="K77"/>
    </row>
    <row r="78" spans="1:11" ht="12.75" x14ac:dyDescent="0.2">
      <c r="A78" s="10">
        <f t="shared" si="10"/>
        <v>77</v>
      </c>
      <c r="B78" s="19">
        <v>45943</v>
      </c>
      <c r="C78" s="24" t="str">
        <f t="shared" si="9"/>
        <v>Monday</v>
      </c>
      <c r="D78" s="6" t="s">
        <v>214</v>
      </c>
      <c r="E78" s="6"/>
      <c r="F78" s="6" t="s">
        <v>288</v>
      </c>
      <c r="G78" s="18">
        <v>-200</v>
      </c>
      <c r="H78" s="6" t="s">
        <v>216</v>
      </c>
      <c r="I78" s="6"/>
      <c r="K78"/>
    </row>
    <row r="79" spans="1:11" ht="12.75" x14ac:dyDescent="0.2">
      <c r="A79" s="10">
        <f t="shared" si="10"/>
        <v>78</v>
      </c>
      <c r="B79" s="19">
        <v>45943</v>
      </c>
      <c r="C79" s="24" t="str">
        <f t="shared" si="9"/>
        <v>Monday</v>
      </c>
      <c r="D79" s="6" t="s">
        <v>214</v>
      </c>
      <c r="E79" s="6"/>
      <c r="F79" s="6" t="s">
        <v>289</v>
      </c>
      <c r="G79" s="18">
        <v>1500</v>
      </c>
      <c r="H79" s="6" t="s">
        <v>129</v>
      </c>
      <c r="I79" s="6"/>
      <c r="K79"/>
    </row>
    <row r="80" spans="1:11" ht="12.75" x14ac:dyDescent="0.2">
      <c r="A80" s="10">
        <f t="shared" si="10"/>
        <v>79</v>
      </c>
      <c r="B80" s="19">
        <v>45943</v>
      </c>
      <c r="C80" s="24" t="str">
        <f t="shared" si="9"/>
        <v>Monday</v>
      </c>
      <c r="D80" s="6" t="s">
        <v>290</v>
      </c>
      <c r="E80" s="6"/>
      <c r="F80" s="6" t="s">
        <v>291</v>
      </c>
      <c r="G80" s="18">
        <v>-10000</v>
      </c>
      <c r="H80" s="6" t="s">
        <v>25</v>
      </c>
      <c r="I80" s="6"/>
      <c r="K80"/>
    </row>
    <row r="81" spans="1:11" ht="12.75" x14ac:dyDescent="0.2">
      <c r="A81" s="10">
        <f t="shared" si="10"/>
        <v>80</v>
      </c>
      <c r="B81" s="19">
        <v>45943</v>
      </c>
      <c r="C81" s="24" t="str">
        <f t="shared" si="9"/>
        <v>Monday</v>
      </c>
      <c r="D81" s="6" t="s">
        <v>290</v>
      </c>
      <c r="E81" s="6"/>
      <c r="F81" s="6" t="s">
        <v>292</v>
      </c>
      <c r="G81" s="18">
        <v>10000</v>
      </c>
      <c r="H81" s="6" t="s">
        <v>110</v>
      </c>
      <c r="I81" s="6"/>
      <c r="K81"/>
    </row>
    <row r="82" spans="1:11" ht="12.75" x14ac:dyDescent="0.2">
      <c r="A82" s="10">
        <f t="shared" si="10"/>
        <v>81</v>
      </c>
      <c r="B82" s="19">
        <v>45943</v>
      </c>
      <c r="C82" s="24" t="str">
        <f t="shared" si="9"/>
        <v>Monday</v>
      </c>
      <c r="D82" s="6" t="s">
        <v>214</v>
      </c>
      <c r="E82" s="6"/>
      <c r="F82" s="6" t="s">
        <v>293</v>
      </c>
      <c r="G82" s="18">
        <v>440</v>
      </c>
      <c r="H82" s="6" t="s">
        <v>22</v>
      </c>
      <c r="I82" s="6"/>
      <c r="K82"/>
    </row>
    <row r="83" spans="1:11" ht="12.75" x14ac:dyDescent="0.2">
      <c r="A83" s="10">
        <f t="shared" si="10"/>
        <v>82</v>
      </c>
      <c r="B83" s="19">
        <v>45943</v>
      </c>
      <c r="C83" s="24" t="str">
        <f t="shared" si="9"/>
        <v>Monday</v>
      </c>
      <c r="D83" s="6" t="s">
        <v>214</v>
      </c>
      <c r="E83" s="6"/>
      <c r="F83" s="6" t="s">
        <v>294</v>
      </c>
      <c r="G83" s="18">
        <v>1000</v>
      </c>
      <c r="H83" s="6" t="s">
        <v>129</v>
      </c>
      <c r="I83" s="6"/>
      <c r="K83"/>
    </row>
    <row r="84" spans="1:11" ht="12.75" x14ac:dyDescent="0.2">
      <c r="A84" s="10">
        <f t="shared" si="10"/>
        <v>83</v>
      </c>
      <c r="B84" s="19">
        <v>45943</v>
      </c>
      <c r="C84" s="24" t="str">
        <f t="shared" si="9"/>
        <v>Monday</v>
      </c>
      <c r="D84" s="6" t="s">
        <v>214</v>
      </c>
      <c r="E84" s="6" t="s">
        <v>230</v>
      </c>
      <c r="F84" s="6" t="s">
        <v>261</v>
      </c>
      <c r="G84" s="18">
        <v>210</v>
      </c>
      <c r="H84" s="6" t="s">
        <v>216</v>
      </c>
      <c r="I84" s="6"/>
      <c r="K84"/>
    </row>
    <row r="85" spans="1:11" ht="12.75" x14ac:dyDescent="0.2">
      <c r="A85" s="10">
        <f t="shared" si="10"/>
        <v>84</v>
      </c>
      <c r="B85" s="19">
        <v>45943</v>
      </c>
      <c r="C85" s="24" t="str">
        <f t="shared" si="9"/>
        <v>Monday</v>
      </c>
      <c r="D85" s="6" t="s">
        <v>214</v>
      </c>
      <c r="E85" s="6"/>
      <c r="F85" s="6" t="s">
        <v>294</v>
      </c>
      <c r="G85" s="18">
        <v>100</v>
      </c>
      <c r="H85" s="6" t="s">
        <v>216</v>
      </c>
      <c r="I85" s="6"/>
      <c r="K85"/>
    </row>
    <row r="86" spans="1:11" ht="12.75" x14ac:dyDescent="0.2">
      <c r="A86" s="10">
        <f t="shared" si="10"/>
        <v>85</v>
      </c>
      <c r="B86" s="19">
        <v>45944</v>
      </c>
      <c r="C86" s="24" t="str">
        <f t="shared" si="9"/>
        <v>Tuesday</v>
      </c>
      <c r="D86" t="s">
        <v>244</v>
      </c>
      <c r="E86" s="6" t="s">
        <v>19</v>
      </c>
      <c r="F86" t="s">
        <v>295</v>
      </c>
      <c r="G86" s="115">
        <v>10000</v>
      </c>
      <c r="H86" s="6" t="s">
        <v>110</v>
      </c>
      <c r="I86" s="6"/>
      <c r="K86"/>
    </row>
    <row r="87" spans="1:11" ht="12.75" x14ac:dyDescent="0.2">
      <c r="A87" s="10">
        <f t="shared" si="10"/>
        <v>86</v>
      </c>
      <c r="B87" s="19">
        <v>45944</v>
      </c>
      <c r="C87" s="24" t="str">
        <f t="shared" si="9"/>
        <v>Tuesday</v>
      </c>
      <c r="D87" s="6" t="s">
        <v>214</v>
      </c>
      <c r="E87" s="6"/>
      <c r="F87" s="6" t="s">
        <v>296</v>
      </c>
      <c r="G87" s="18">
        <v>7500</v>
      </c>
      <c r="H87" t="s">
        <v>129</v>
      </c>
      <c r="I87" s="6"/>
      <c r="K87"/>
    </row>
    <row r="88" spans="1:11" ht="12.75" x14ac:dyDescent="0.2">
      <c r="A88" s="10">
        <f t="shared" si="10"/>
        <v>87</v>
      </c>
      <c r="B88" s="19">
        <v>45944</v>
      </c>
      <c r="C88" s="24" t="str">
        <f t="shared" si="9"/>
        <v>Tuesday</v>
      </c>
      <c r="D88" s="6" t="s">
        <v>245</v>
      </c>
      <c r="E88" s="6"/>
      <c r="F88" s="6" t="s">
        <v>297</v>
      </c>
      <c r="G88" s="18">
        <v>5000</v>
      </c>
      <c r="H88" s="6" t="s">
        <v>110</v>
      </c>
      <c r="I88" s="6"/>
      <c r="K88"/>
    </row>
    <row r="89" spans="1:11" ht="12.75" x14ac:dyDescent="0.2">
      <c r="A89" s="10">
        <f t="shared" si="10"/>
        <v>88</v>
      </c>
      <c r="B89" s="26">
        <v>45944</v>
      </c>
      <c r="C89" s="24" t="str">
        <f t="shared" si="9"/>
        <v>Tuesday</v>
      </c>
      <c r="D89" s="6" t="s">
        <v>214</v>
      </c>
      <c r="F89" t="s">
        <v>298</v>
      </c>
      <c r="G89" s="18">
        <v>299</v>
      </c>
      <c r="H89" t="s">
        <v>182</v>
      </c>
      <c r="I89" s="6"/>
      <c r="K89"/>
    </row>
    <row r="90" spans="1:11" ht="12.75" x14ac:dyDescent="0.2">
      <c r="A90" s="10">
        <f t="shared" si="10"/>
        <v>89</v>
      </c>
      <c r="B90" s="26">
        <v>45945</v>
      </c>
      <c r="C90" s="24" t="str">
        <f t="shared" si="9"/>
        <v>Wednesday</v>
      </c>
      <c r="D90" s="6" t="s">
        <v>214</v>
      </c>
      <c r="E90" s="6"/>
      <c r="F90" s="6" t="s">
        <v>299</v>
      </c>
      <c r="G90" s="18">
        <v>745</v>
      </c>
      <c r="H90" s="6" t="s">
        <v>22</v>
      </c>
      <c r="I90" s="6"/>
      <c r="K90"/>
    </row>
    <row r="91" spans="1:11" ht="12.75" x14ac:dyDescent="0.2">
      <c r="A91" s="10">
        <f t="shared" si="10"/>
        <v>90</v>
      </c>
      <c r="B91" s="26">
        <v>45945</v>
      </c>
      <c r="C91" s="24" t="str">
        <f t="shared" si="9"/>
        <v>Wednesday</v>
      </c>
      <c r="D91" s="6" t="s">
        <v>214</v>
      </c>
      <c r="E91" s="6"/>
      <c r="F91" s="6" t="s">
        <v>300</v>
      </c>
      <c r="G91" s="18">
        <v>160</v>
      </c>
      <c r="H91" s="6" t="s">
        <v>22</v>
      </c>
      <c r="I91" s="6"/>
      <c r="K91"/>
    </row>
    <row r="92" spans="1:11" ht="12.75" x14ac:dyDescent="0.2">
      <c r="A92" s="10">
        <f t="shared" si="10"/>
        <v>91</v>
      </c>
      <c r="B92" s="19">
        <v>45945</v>
      </c>
      <c r="C92" s="24" t="str">
        <f t="shared" si="9"/>
        <v>Wednesday</v>
      </c>
      <c r="D92" s="6" t="s">
        <v>239</v>
      </c>
      <c r="E92" s="6" t="s">
        <v>258</v>
      </c>
      <c r="F92" s="6" t="s">
        <v>259</v>
      </c>
      <c r="G92" s="18">
        <v>32000</v>
      </c>
      <c r="H92" t="s">
        <v>110</v>
      </c>
      <c r="I92" s="6"/>
      <c r="K92"/>
    </row>
    <row r="93" spans="1:11" ht="12.75" x14ac:dyDescent="0.2">
      <c r="A93" s="10">
        <f t="shared" si="10"/>
        <v>92</v>
      </c>
      <c r="B93" s="19">
        <v>45945</v>
      </c>
      <c r="C93" s="24" t="str">
        <f t="shared" si="9"/>
        <v>Wednesday</v>
      </c>
      <c r="D93" s="6" t="s">
        <v>247</v>
      </c>
      <c r="E93" s="6"/>
      <c r="F93" s="6" t="s">
        <v>301</v>
      </c>
      <c r="G93" s="18">
        <v>-3000</v>
      </c>
      <c r="H93" t="s">
        <v>182</v>
      </c>
      <c r="I93" s="6"/>
      <c r="K93"/>
    </row>
    <row r="94" spans="1:11" ht="12.75" x14ac:dyDescent="0.2">
      <c r="A94" s="10">
        <f t="shared" si="10"/>
        <v>93</v>
      </c>
      <c r="B94" s="19">
        <v>45945</v>
      </c>
      <c r="C94" s="24" t="str">
        <f t="shared" si="9"/>
        <v>Wednesday</v>
      </c>
      <c r="D94" s="6" t="s">
        <v>247</v>
      </c>
      <c r="E94" s="6"/>
      <c r="F94" s="6" t="s">
        <v>301</v>
      </c>
      <c r="G94" s="18">
        <v>3000</v>
      </c>
      <c r="H94" t="s">
        <v>110</v>
      </c>
      <c r="I94" s="6"/>
      <c r="K94"/>
    </row>
    <row r="95" spans="1:11" ht="12.75" x14ac:dyDescent="0.2">
      <c r="A95" s="10">
        <f t="shared" si="10"/>
        <v>94</v>
      </c>
      <c r="B95" s="19">
        <v>45945</v>
      </c>
      <c r="C95" s="24" t="str">
        <f t="shared" si="9"/>
        <v>Wednesday</v>
      </c>
      <c r="D95" s="6" t="s">
        <v>214</v>
      </c>
      <c r="E95" s="6"/>
      <c r="F95" s="6" t="s">
        <v>302</v>
      </c>
      <c r="G95" s="18">
        <v>2680</v>
      </c>
      <c r="H95" t="s">
        <v>182</v>
      </c>
      <c r="I95" s="6"/>
      <c r="K95"/>
    </row>
    <row r="96" spans="1:11" ht="12.75" x14ac:dyDescent="0.2">
      <c r="A96" s="10">
        <f t="shared" si="10"/>
        <v>95</v>
      </c>
      <c r="B96" s="19">
        <v>45945</v>
      </c>
      <c r="C96" s="24" t="str">
        <f t="shared" si="9"/>
        <v>Wednesday</v>
      </c>
      <c r="D96" s="6" t="s">
        <v>239</v>
      </c>
      <c r="E96" s="6"/>
      <c r="F96" s="6" t="s">
        <v>303</v>
      </c>
      <c r="G96" s="18">
        <v>1115</v>
      </c>
      <c r="H96" t="s">
        <v>182</v>
      </c>
      <c r="I96" s="6"/>
      <c r="K96"/>
    </row>
    <row r="97" spans="1:11" ht="12.75" x14ac:dyDescent="0.2">
      <c r="A97" s="10">
        <f t="shared" si="10"/>
        <v>96</v>
      </c>
      <c r="B97" s="19">
        <v>45946</v>
      </c>
      <c r="C97" s="24" t="str">
        <f t="shared" si="9"/>
        <v>Thursday</v>
      </c>
      <c r="D97" s="6" t="s">
        <v>247</v>
      </c>
      <c r="E97" s="6"/>
      <c r="F97" s="6" t="s">
        <v>304</v>
      </c>
      <c r="G97" s="18">
        <v>-2000</v>
      </c>
      <c r="H97" t="s">
        <v>182</v>
      </c>
      <c r="I97" s="6"/>
      <c r="K97"/>
    </row>
    <row r="98" spans="1:11" ht="12.75" x14ac:dyDescent="0.2">
      <c r="A98" s="10">
        <f t="shared" si="10"/>
        <v>97</v>
      </c>
      <c r="B98" s="19">
        <v>45946</v>
      </c>
      <c r="C98" s="24" t="str">
        <f t="shared" si="9"/>
        <v>Thursday</v>
      </c>
      <c r="D98" s="6" t="s">
        <v>247</v>
      </c>
      <c r="E98" s="6"/>
      <c r="F98" s="6" t="s">
        <v>304</v>
      </c>
      <c r="G98" s="18">
        <v>2000</v>
      </c>
      <c r="H98" t="s">
        <v>110</v>
      </c>
      <c r="I98" s="6"/>
      <c r="K98"/>
    </row>
    <row r="99" spans="1:11" ht="12.75" x14ac:dyDescent="0.2">
      <c r="A99" s="10">
        <f t="shared" ref="A99:A118" si="11">A98+1</f>
        <v>98</v>
      </c>
      <c r="B99" s="19">
        <v>45946</v>
      </c>
      <c r="C99" s="24" t="str">
        <f t="shared" si="9"/>
        <v>Thursday</v>
      </c>
      <c r="D99" s="6" t="s">
        <v>214</v>
      </c>
      <c r="E99" s="6"/>
      <c r="F99" s="6" t="s">
        <v>305</v>
      </c>
      <c r="G99" s="18">
        <v>1178</v>
      </c>
      <c r="H99" s="6" t="s">
        <v>182</v>
      </c>
      <c r="I99" s="6"/>
      <c r="K99"/>
    </row>
    <row r="100" spans="1:11" ht="12.75" x14ac:dyDescent="0.2">
      <c r="A100" s="10">
        <f t="shared" si="11"/>
        <v>99</v>
      </c>
      <c r="B100" s="19">
        <v>45946</v>
      </c>
      <c r="C100" s="24" t="str">
        <f t="shared" si="9"/>
        <v>Thursday</v>
      </c>
      <c r="D100" s="6" t="s">
        <v>214</v>
      </c>
      <c r="E100" s="6" t="s">
        <v>306</v>
      </c>
      <c r="F100" s="6" t="s">
        <v>307</v>
      </c>
      <c r="G100" s="18">
        <v>500</v>
      </c>
      <c r="H100" s="6" t="s">
        <v>22</v>
      </c>
      <c r="I100" s="6"/>
      <c r="K100"/>
    </row>
    <row r="101" spans="1:11" ht="12.75" x14ac:dyDescent="0.2">
      <c r="A101" s="10">
        <f t="shared" si="11"/>
        <v>100</v>
      </c>
      <c r="B101" s="19">
        <v>45946</v>
      </c>
      <c r="C101" s="24" t="str">
        <f t="shared" si="9"/>
        <v>Thursday</v>
      </c>
      <c r="D101" s="6" t="s">
        <v>214</v>
      </c>
      <c r="E101" s="6"/>
      <c r="F101" s="6" t="s">
        <v>308</v>
      </c>
      <c r="G101" s="18">
        <v>90</v>
      </c>
      <c r="H101" s="6" t="s">
        <v>182</v>
      </c>
      <c r="I101" s="6"/>
      <c r="K101"/>
    </row>
    <row r="102" spans="1:11" ht="12.75" x14ac:dyDescent="0.2">
      <c r="A102" s="10">
        <f t="shared" si="11"/>
        <v>101</v>
      </c>
      <c r="B102" s="19">
        <v>45946</v>
      </c>
      <c r="C102" s="24" t="str">
        <f t="shared" si="9"/>
        <v>Thursday</v>
      </c>
      <c r="D102" s="6" t="s">
        <v>214</v>
      </c>
      <c r="E102" s="6"/>
      <c r="F102" s="6" t="s">
        <v>309</v>
      </c>
      <c r="G102" s="18">
        <v>261</v>
      </c>
      <c r="H102" s="6" t="s">
        <v>182</v>
      </c>
      <c r="I102" s="6"/>
      <c r="K102"/>
    </row>
    <row r="103" spans="1:11" ht="12.75" x14ac:dyDescent="0.2">
      <c r="A103" s="10">
        <f t="shared" si="11"/>
        <v>102</v>
      </c>
      <c r="B103" s="19">
        <v>45946</v>
      </c>
      <c r="C103" s="24" t="str">
        <f t="shared" si="9"/>
        <v>Thursday</v>
      </c>
      <c r="D103" s="6" t="s">
        <v>214</v>
      </c>
      <c r="E103" s="6" t="s">
        <v>218</v>
      </c>
      <c r="F103" s="6" t="s">
        <v>310</v>
      </c>
      <c r="G103" s="18">
        <v>1470</v>
      </c>
      <c r="H103" s="6" t="s">
        <v>25</v>
      </c>
      <c r="I103" s="6"/>
      <c r="K103"/>
    </row>
    <row r="104" spans="1:11" ht="12.75" x14ac:dyDescent="0.2">
      <c r="A104" s="10">
        <f t="shared" si="11"/>
        <v>103</v>
      </c>
      <c r="B104" s="19">
        <v>45947</v>
      </c>
      <c r="C104" s="24" t="str">
        <f t="shared" si="9"/>
        <v>Friday</v>
      </c>
      <c r="D104" s="6" t="s">
        <v>230</v>
      </c>
      <c r="E104" s="6" t="s">
        <v>306</v>
      </c>
      <c r="F104" s="6" t="s">
        <v>311</v>
      </c>
      <c r="G104" s="18">
        <v>1000</v>
      </c>
      <c r="H104" s="6" t="s">
        <v>22</v>
      </c>
      <c r="I104" s="6"/>
      <c r="K104"/>
    </row>
    <row r="105" spans="1:11" ht="12.75" x14ac:dyDescent="0.2">
      <c r="A105" s="10">
        <f t="shared" si="11"/>
        <v>104</v>
      </c>
      <c r="B105" s="19">
        <v>45947</v>
      </c>
      <c r="C105" s="24" t="str">
        <f t="shared" si="9"/>
        <v>Friday</v>
      </c>
      <c r="D105" s="6" t="s">
        <v>230</v>
      </c>
      <c r="E105" s="6" t="s">
        <v>306</v>
      </c>
      <c r="F105" s="6" t="s">
        <v>312</v>
      </c>
      <c r="G105" s="18">
        <v>1000</v>
      </c>
      <c r="H105" s="6" t="s">
        <v>22</v>
      </c>
      <c r="I105" s="6"/>
      <c r="K105"/>
    </row>
    <row r="106" spans="1:11" ht="12.75" x14ac:dyDescent="0.2">
      <c r="A106" s="10">
        <f t="shared" si="11"/>
        <v>105</v>
      </c>
      <c r="B106" s="19">
        <v>45947</v>
      </c>
      <c r="C106" s="24" t="str">
        <f t="shared" si="9"/>
        <v>Friday</v>
      </c>
      <c r="D106" s="6" t="s">
        <v>230</v>
      </c>
      <c r="E106" s="6" t="s">
        <v>306</v>
      </c>
      <c r="F106" s="6" t="s">
        <v>313</v>
      </c>
      <c r="G106" s="18">
        <v>2000</v>
      </c>
      <c r="H106" s="6" t="s">
        <v>129</v>
      </c>
      <c r="I106" s="6"/>
      <c r="K106"/>
    </row>
    <row r="107" spans="1:11" ht="12.75" x14ac:dyDescent="0.2">
      <c r="A107" s="10">
        <f t="shared" si="11"/>
        <v>106</v>
      </c>
      <c r="B107" s="19">
        <v>45947</v>
      </c>
      <c r="C107" s="24" t="str">
        <f t="shared" si="9"/>
        <v>Friday</v>
      </c>
      <c r="D107" s="6" t="s">
        <v>230</v>
      </c>
      <c r="E107" s="6" t="s">
        <v>306</v>
      </c>
      <c r="F107" s="6" t="s">
        <v>314</v>
      </c>
      <c r="G107" s="18">
        <v>2450</v>
      </c>
      <c r="H107" s="6" t="s">
        <v>129</v>
      </c>
      <c r="I107" s="6"/>
      <c r="K107"/>
    </row>
    <row r="108" spans="1:11" ht="12.75" x14ac:dyDescent="0.2">
      <c r="A108" s="10">
        <f t="shared" si="11"/>
        <v>107</v>
      </c>
      <c r="B108" s="19">
        <v>45947</v>
      </c>
      <c r="C108" s="24" t="str">
        <f t="shared" si="9"/>
        <v>Friday</v>
      </c>
      <c r="D108" s="6" t="s">
        <v>230</v>
      </c>
      <c r="E108" s="6" t="s">
        <v>230</v>
      </c>
      <c r="F108" s="6" t="s">
        <v>261</v>
      </c>
      <c r="G108" s="18">
        <v>311</v>
      </c>
      <c r="H108" s="6" t="s">
        <v>182</v>
      </c>
      <c r="I108" s="6"/>
      <c r="K108"/>
    </row>
    <row r="109" spans="1:11" ht="12.75" x14ac:dyDescent="0.2">
      <c r="A109" s="10">
        <f t="shared" si="11"/>
        <v>108</v>
      </c>
      <c r="B109" s="19">
        <v>45947</v>
      </c>
      <c r="C109" s="24" t="str">
        <f t="shared" si="9"/>
        <v>Friday</v>
      </c>
      <c r="D109" s="6" t="s">
        <v>290</v>
      </c>
      <c r="E109" s="6"/>
      <c r="F109" s="6" t="s">
        <v>247</v>
      </c>
      <c r="G109" s="18">
        <v>-46329.834999999999</v>
      </c>
      <c r="H109" t="s">
        <v>22</v>
      </c>
      <c r="I109" s="6"/>
      <c r="K109"/>
    </row>
    <row r="110" spans="1:11" ht="12.75" x14ac:dyDescent="0.2">
      <c r="A110" s="10">
        <f t="shared" si="11"/>
        <v>109</v>
      </c>
      <c r="B110" s="19">
        <v>45947</v>
      </c>
      <c r="C110" s="24" t="str">
        <f t="shared" si="9"/>
        <v>Friday</v>
      </c>
      <c r="D110" s="6" t="s">
        <v>290</v>
      </c>
      <c r="E110" s="6"/>
      <c r="F110" s="6" t="s">
        <v>247</v>
      </c>
      <c r="G110" s="18">
        <v>-30209.834999999992</v>
      </c>
      <c r="H110" t="s">
        <v>216</v>
      </c>
      <c r="I110" s="6"/>
      <c r="K110"/>
    </row>
    <row r="111" spans="1:11" ht="12.75" x14ac:dyDescent="0.2">
      <c r="A111" s="10">
        <f t="shared" si="11"/>
        <v>110</v>
      </c>
      <c r="B111" s="19">
        <v>45947</v>
      </c>
      <c r="C111" s="24" t="str">
        <f t="shared" si="9"/>
        <v>Friday</v>
      </c>
      <c r="D111" s="6" t="s">
        <v>290</v>
      </c>
      <c r="E111" s="6"/>
      <c r="F111" s="6" t="s">
        <v>247</v>
      </c>
      <c r="G111" s="18">
        <v>-29027.834999999992</v>
      </c>
      <c r="H111" s="6" t="s">
        <v>182</v>
      </c>
      <c r="I111" s="6"/>
      <c r="K111"/>
    </row>
    <row r="112" spans="1:11" ht="12.75" x14ac:dyDescent="0.2">
      <c r="A112" s="10">
        <f t="shared" si="11"/>
        <v>111</v>
      </c>
      <c r="B112" s="19">
        <v>45947</v>
      </c>
      <c r="C112" s="24" t="str">
        <f t="shared" si="9"/>
        <v>Friday</v>
      </c>
      <c r="D112" s="6" t="s">
        <v>290</v>
      </c>
      <c r="E112" s="6"/>
      <c r="F112" s="6" t="s">
        <v>247</v>
      </c>
      <c r="G112" s="18">
        <v>-15252.834999999992</v>
      </c>
      <c r="H112" t="s">
        <v>25</v>
      </c>
      <c r="I112" s="6"/>
      <c r="K112"/>
    </row>
    <row r="113" spans="1:17" ht="12.75" x14ac:dyDescent="0.2">
      <c r="A113" s="10">
        <f t="shared" si="11"/>
        <v>112</v>
      </c>
      <c r="B113" s="19">
        <v>45947</v>
      </c>
      <c r="C113" s="24" t="str">
        <f t="shared" si="9"/>
        <v>Friday</v>
      </c>
      <c r="D113" s="6" t="s">
        <v>290</v>
      </c>
      <c r="E113" s="6"/>
      <c r="F113" s="6" t="s">
        <v>315</v>
      </c>
      <c r="G113" s="18">
        <v>120820.34</v>
      </c>
      <c r="H113" s="6" t="s">
        <v>110</v>
      </c>
      <c r="I113" s="6"/>
      <c r="K113"/>
    </row>
    <row r="114" spans="1:17" ht="12.75" x14ac:dyDescent="0.2">
      <c r="A114" s="10">
        <f t="shared" si="11"/>
        <v>113</v>
      </c>
      <c r="B114" s="19">
        <v>45951</v>
      </c>
      <c r="C114" s="24" t="str">
        <f t="shared" si="9"/>
        <v>Tuesday</v>
      </c>
      <c r="D114" s="6" t="s">
        <v>239</v>
      </c>
      <c r="E114" s="6"/>
      <c r="F114" s="6" t="s">
        <v>316</v>
      </c>
      <c r="G114" s="18">
        <v>179.66</v>
      </c>
      <c r="H114" s="6" t="s">
        <v>110</v>
      </c>
      <c r="I114" s="6"/>
      <c r="K114"/>
    </row>
    <row r="115" spans="1:17" ht="12.75" x14ac:dyDescent="0.2">
      <c r="A115" s="10">
        <f t="shared" si="11"/>
        <v>114</v>
      </c>
      <c r="B115" s="19">
        <v>45954</v>
      </c>
      <c r="C115" s="24" t="str">
        <f t="shared" si="9"/>
        <v>Friday</v>
      </c>
      <c r="D115" s="6" t="s">
        <v>69</v>
      </c>
      <c r="E115" s="6" t="s">
        <v>211</v>
      </c>
      <c r="F115" s="6" t="s">
        <v>212</v>
      </c>
      <c r="G115" s="18">
        <v>20000</v>
      </c>
      <c r="H115" s="6" t="s">
        <v>22</v>
      </c>
      <c r="I115" s="6"/>
      <c r="K115"/>
    </row>
    <row r="116" spans="1:17" ht="12.75" x14ac:dyDescent="0.2">
      <c r="A116" s="10">
        <f t="shared" si="11"/>
        <v>115</v>
      </c>
      <c r="B116" s="19">
        <v>45954</v>
      </c>
      <c r="C116" s="24" t="str">
        <f t="shared" si="9"/>
        <v>Friday</v>
      </c>
      <c r="D116" s="6" t="s">
        <v>230</v>
      </c>
      <c r="E116" s="6"/>
      <c r="F116" s="6" t="s">
        <v>317</v>
      </c>
      <c r="G116" s="18">
        <v>39033.360000000001</v>
      </c>
      <c r="H116" s="6" t="s">
        <v>22</v>
      </c>
      <c r="I116" s="6"/>
      <c r="K116"/>
    </row>
    <row r="117" spans="1:17" ht="12.75" x14ac:dyDescent="0.2">
      <c r="A117" s="10">
        <f t="shared" si="11"/>
        <v>116</v>
      </c>
      <c r="B117" s="19">
        <v>45955</v>
      </c>
      <c r="C117" s="24" t="str">
        <f t="shared" si="9"/>
        <v>Saturday</v>
      </c>
      <c r="D117" s="6" t="s">
        <v>235</v>
      </c>
      <c r="E117" s="6"/>
      <c r="F117" s="6" t="s">
        <v>318</v>
      </c>
      <c r="G117" s="18">
        <v>5900</v>
      </c>
      <c r="H117" s="6" t="s">
        <v>22</v>
      </c>
      <c r="I117" s="6"/>
      <c r="K117"/>
    </row>
    <row r="118" spans="1:17" ht="12.75" x14ac:dyDescent="0.2">
      <c r="A118" s="10">
        <f t="shared" si="11"/>
        <v>117</v>
      </c>
      <c r="B118" s="19">
        <v>45955</v>
      </c>
      <c r="C118" s="24" t="str">
        <f t="shared" si="9"/>
        <v>Saturday</v>
      </c>
      <c r="D118" s="6" t="s">
        <v>247</v>
      </c>
      <c r="E118" s="6"/>
      <c r="F118" s="6" t="s">
        <v>319</v>
      </c>
      <c r="G118" s="18">
        <v>-5231.96</v>
      </c>
      <c r="H118" s="6" t="s">
        <v>22</v>
      </c>
      <c r="I118" s="6"/>
      <c r="K118"/>
    </row>
    <row r="119" spans="1:17" ht="12.75" x14ac:dyDescent="0.2">
      <c r="A119" s="10">
        <f>A117+1</f>
        <v>117</v>
      </c>
      <c r="B119" s="19">
        <v>45955</v>
      </c>
      <c r="C119" s="24" t="str">
        <f t="shared" si="9"/>
        <v>Saturday</v>
      </c>
      <c r="D119" s="6" t="s">
        <v>290</v>
      </c>
      <c r="E119" s="6"/>
      <c r="F119" s="6" t="s">
        <v>320</v>
      </c>
      <c r="G119" s="18">
        <v>5231.96</v>
      </c>
      <c r="H119" s="6" t="s">
        <v>110</v>
      </c>
      <c r="I119" s="6"/>
      <c r="K119"/>
    </row>
    <row r="120" spans="1:17" ht="12.75" x14ac:dyDescent="0.2">
      <c r="A120" s="10">
        <f t="shared" ref="A120:A183" si="12">A119+1</f>
        <v>118</v>
      </c>
      <c r="B120" s="19">
        <v>45957</v>
      </c>
      <c r="C120" s="24" t="str">
        <f t="shared" ref="C120:C183" si="13">TEXT(B120,"dddd")</f>
        <v>Monday</v>
      </c>
      <c r="D120" s="6" t="s">
        <v>237</v>
      </c>
      <c r="E120" s="6"/>
      <c r="F120" s="6" t="s">
        <v>321</v>
      </c>
      <c r="G120" s="18">
        <v>2000</v>
      </c>
      <c r="H120" s="6" t="s">
        <v>25</v>
      </c>
      <c r="I120" s="6"/>
      <c r="K120"/>
    </row>
    <row r="121" spans="1:17" ht="12.75" x14ac:dyDescent="0.2">
      <c r="A121" s="10">
        <f t="shared" si="12"/>
        <v>119</v>
      </c>
      <c r="B121" s="19">
        <v>45957</v>
      </c>
      <c r="C121" s="24" t="str">
        <f t="shared" si="13"/>
        <v>Monday</v>
      </c>
      <c r="D121" s="6" t="s">
        <v>237</v>
      </c>
      <c r="E121" s="6"/>
      <c r="F121" s="6" t="s">
        <v>322</v>
      </c>
      <c r="G121" s="18">
        <v>475</v>
      </c>
      <c r="H121" s="6" t="s">
        <v>216</v>
      </c>
      <c r="I121" s="6"/>
      <c r="K121"/>
    </row>
    <row r="122" spans="1:17" ht="12.75" x14ac:dyDescent="0.2">
      <c r="A122" s="10">
        <f t="shared" si="12"/>
        <v>120</v>
      </c>
      <c r="B122" s="19">
        <v>45958</v>
      </c>
      <c r="C122" s="24" t="str">
        <f t="shared" si="13"/>
        <v>Tuesday</v>
      </c>
      <c r="D122" s="6" t="s">
        <v>235</v>
      </c>
      <c r="E122" s="6"/>
      <c r="F122" s="6" t="s">
        <v>323</v>
      </c>
      <c r="G122" s="18">
        <v>7878</v>
      </c>
      <c r="H122" s="6" t="s">
        <v>129</v>
      </c>
      <c r="I122" s="6"/>
      <c r="K122"/>
    </row>
    <row r="123" spans="1:17" ht="12.75" x14ac:dyDescent="0.2">
      <c r="A123" s="10">
        <f t="shared" si="12"/>
        <v>121</v>
      </c>
      <c r="B123" s="19">
        <v>45960</v>
      </c>
      <c r="C123" s="24" t="str">
        <f t="shared" si="13"/>
        <v>Thursday</v>
      </c>
      <c r="D123" s="6" t="s">
        <v>214</v>
      </c>
      <c r="E123" s="6"/>
      <c r="F123" s="6" t="s">
        <v>324</v>
      </c>
      <c r="G123" s="18">
        <v>231</v>
      </c>
      <c r="H123" s="6" t="s">
        <v>216</v>
      </c>
      <c r="I123" s="6"/>
      <c r="K123"/>
    </row>
    <row r="124" spans="1:17" ht="12.75" x14ac:dyDescent="0.2">
      <c r="A124" s="10">
        <f t="shared" si="12"/>
        <v>122</v>
      </c>
      <c r="B124" s="19">
        <v>45961</v>
      </c>
      <c r="C124" s="24" t="str">
        <f t="shared" si="13"/>
        <v>Friday</v>
      </c>
      <c r="D124" s="6" t="s">
        <v>214</v>
      </c>
      <c r="E124" s="6"/>
      <c r="F124" s="6" t="s">
        <v>324</v>
      </c>
      <c r="G124" s="18">
        <v>189</v>
      </c>
      <c r="H124" s="6" t="s">
        <v>216</v>
      </c>
      <c r="I124" s="6"/>
      <c r="K124"/>
    </row>
    <row r="125" spans="1:17" ht="12.75" x14ac:dyDescent="0.2">
      <c r="A125" s="10">
        <f t="shared" si="12"/>
        <v>123</v>
      </c>
      <c r="B125" s="19">
        <v>45961</v>
      </c>
      <c r="C125" s="24" t="str">
        <f t="shared" si="13"/>
        <v>Friday</v>
      </c>
      <c r="D125" s="6" t="s">
        <v>290</v>
      </c>
      <c r="E125" s="6"/>
      <c r="F125" s="6" t="s">
        <v>325</v>
      </c>
      <c r="G125" s="18">
        <v>-2000</v>
      </c>
      <c r="H125" s="6" t="s">
        <v>182</v>
      </c>
      <c r="I125" s="6"/>
      <c r="K125"/>
    </row>
    <row r="126" spans="1:17" ht="12.75" x14ac:dyDescent="0.2">
      <c r="A126" s="10">
        <f t="shared" si="12"/>
        <v>124</v>
      </c>
      <c r="B126" s="19">
        <v>45961</v>
      </c>
      <c r="C126" s="24" t="str">
        <f t="shared" si="13"/>
        <v>Friday</v>
      </c>
      <c r="D126" s="6" t="s">
        <v>290</v>
      </c>
      <c r="E126" s="6"/>
      <c r="F126" s="6" t="s">
        <v>326</v>
      </c>
      <c r="G126" s="18">
        <v>2000</v>
      </c>
      <c r="H126" s="6" t="s">
        <v>110</v>
      </c>
      <c r="I126" s="6"/>
      <c r="K126"/>
      <c r="Q126"/>
    </row>
    <row r="127" spans="1:17" ht="12.75" x14ac:dyDescent="0.2">
      <c r="A127" s="10">
        <f t="shared" si="12"/>
        <v>125</v>
      </c>
      <c r="B127" s="19">
        <v>45961</v>
      </c>
      <c r="C127" s="24" t="str">
        <f t="shared" si="13"/>
        <v>Friday</v>
      </c>
      <c r="D127" s="6" t="s">
        <v>214</v>
      </c>
      <c r="E127" s="6"/>
      <c r="F127" s="6" t="s">
        <v>327</v>
      </c>
      <c r="G127" s="18">
        <v>2585</v>
      </c>
      <c r="H127" s="6" t="s">
        <v>129</v>
      </c>
      <c r="I127" s="6"/>
      <c r="K127"/>
    </row>
    <row r="128" spans="1:17" ht="12.75" x14ac:dyDescent="0.2">
      <c r="A128" s="10">
        <f t="shared" si="12"/>
        <v>126</v>
      </c>
      <c r="B128" s="19">
        <v>45964</v>
      </c>
      <c r="C128" s="24" t="str">
        <f t="shared" si="13"/>
        <v>Monday</v>
      </c>
      <c r="D128" s="6" t="s">
        <v>230</v>
      </c>
      <c r="E128" s="6"/>
      <c r="F128" s="6" t="s">
        <v>328</v>
      </c>
      <c r="G128" s="18">
        <v>340</v>
      </c>
      <c r="H128" s="6" t="s">
        <v>216</v>
      </c>
      <c r="I128" s="6"/>
      <c r="K128"/>
    </row>
    <row r="129" spans="1:12" ht="12.75" x14ac:dyDescent="0.2">
      <c r="A129" s="10">
        <f t="shared" si="12"/>
        <v>127</v>
      </c>
      <c r="B129" s="19">
        <v>45965</v>
      </c>
      <c r="C129" s="24" t="str">
        <f t="shared" si="13"/>
        <v>Tuesday</v>
      </c>
      <c r="D129" s="6" t="s">
        <v>69</v>
      </c>
      <c r="E129" s="6" t="s">
        <v>211</v>
      </c>
      <c r="F129" s="6" t="s">
        <v>212</v>
      </c>
      <c r="G129" s="18">
        <v>10000</v>
      </c>
      <c r="H129" s="6" t="s">
        <v>110</v>
      </c>
      <c r="I129" s="6"/>
      <c r="K129"/>
    </row>
    <row r="130" spans="1:12" ht="12.75" x14ac:dyDescent="0.2">
      <c r="A130" s="10">
        <f t="shared" si="12"/>
        <v>128</v>
      </c>
      <c r="B130" s="19">
        <v>45966</v>
      </c>
      <c r="C130" s="24" t="str">
        <f t="shared" si="13"/>
        <v>Wednesday</v>
      </c>
      <c r="D130" s="6" t="s">
        <v>230</v>
      </c>
      <c r="E130" s="6"/>
      <c r="F130" s="6" t="s">
        <v>328</v>
      </c>
      <c r="G130" s="18">
        <v>287</v>
      </c>
      <c r="H130" s="6" t="s">
        <v>216</v>
      </c>
      <c r="I130" s="6"/>
      <c r="K130"/>
    </row>
    <row r="131" spans="1:12" ht="12.75" x14ac:dyDescent="0.2">
      <c r="A131" s="10">
        <f t="shared" si="12"/>
        <v>129</v>
      </c>
      <c r="B131" s="19">
        <v>45967</v>
      </c>
      <c r="C131" s="24" t="str">
        <f t="shared" si="13"/>
        <v>Thursday</v>
      </c>
      <c r="D131" s="6" t="s">
        <v>230</v>
      </c>
      <c r="E131" s="6"/>
      <c r="F131" s="6" t="s">
        <v>328</v>
      </c>
      <c r="G131" s="18">
        <v>368</v>
      </c>
      <c r="H131" s="6" t="s">
        <v>216</v>
      </c>
      <c r="I131" s="6"/>
      <c r="K131"/>
    </row>
    <row r="132" spans="1:12" ht="12.75" x14ac:dyDescent="0.2">
      <c r="A132" s="10">
        <f t="shared" si="12"/>
        <v>130</v>
      </c>
      <c r="B132" s="19">
        <v>45967</v>
      </c>
      <c r="C132" s="24" t="str">
        <f t="shared" si="13"/>
        <v>Thursday</v>
      </c>
      <c r="D132" s="6" t="s">
        <v>214</v>
      </c>
      <c r="E132" s="6"/>
      <c r="F132" s="6" t="s">
        <v>329</v>
      </c>
      <c r="G132" s="18">
        <v>260</v>
      </c>
      <c r="H132" s="6" t="s">
        <v>22</v>
      </c>
      <c r="I132" s="6"/>
      <c r="K132"/>
    </row>
    <row r="133" spans="1:12" ht="12.75" x14ac:dyDescent="0.2">
      <c r="A133" s="10">
        <f t="shared" si="12"/>
        <v>131</v>
      </c>
      <c r="B133" s="19">
        <v>45968</v>
      </c>
      <c r="C133" s="24" t="str">
        <f t="shared" si="13"/>
        <v>Friday</v>
      </c>
      <c r="D133" s="6" t="s">
        <v>330</v>
      </c>
      <c r="E133" s="6"/>
      <c r="F133" s="6" t="s">
        <v>331</v>
      </c>
      <c r="G133" s="18">
        <v>71500</v>
      </c>
      <c r="H133" s="6" t="s">
        <v>110</v>
      </c>
      <c r="I133" s="6"/>
      <c r="K133"/>
    </row>
    <row r="134" spans="1:12" ht="12.75" x14ac:dyDescent="0.2">
      <c r="A134" s="10">
        <f t="shared" si="12"/>
        <v>132</v>
      </c>
      <c r="B134" s="19">
        <v>45968</v>
      </c>
      <c r="C134" s="24" t="str">
        <f t="shared" si="13"/>
        <v>Friday</v>
      </c>
      <c r="D134" s="6" t="s">
        <v>330</v>
      </c>
      <c r="E134" s="6"/>
      <c r="F134" s="6" t="s">
        <v>332</v>
      </c>
      <c r="G134" s="18">
        <v>-71500</v>
      </c>
      <c r="H134" s="6" t="s">
        <v>185</v>
      </c>
      <c r="I134" s="6"/>
      <c r="K134"/>
    </row>
    <row r="135" spans="1:12" ht="12.75" x14ac:dyDescent="0.2">
      <c r="A135" s="10">
        <f t="shared" si="12"/>
        <v>133</v>
      </c>
      <c r="B135" s="19">
        <v>45968</v>
      </c>
      <c r="C135" s="24" t="str">
        <f t="shared" si="13"/>
        <v>Friday</v>
      </c>
      <c r="D135" s="6" t="s">
        <v>247</v>
      </c>
      <c r="E135" s="6"/>
      <c r="F135" s="6" t="s">
        <v>290</v>
      </c>
      <c r="G135" s="18">
        <v>-10000</v>
      </c>
      <c r="H135" s="6" t="s">
        <v>182</v>
      </c>
      <c r="I135" s="6"/>
      <c r="K135"/>
    </row>
    <row r="136" spans="1:12" ht="12.75" x14ac:dyDescent="0.2">
      <c r="A136" s="10">
        <f t="shared" si="12"/>
        <v>134</v>
      </c>
      <c r="B136" s="19">
        <v>45968</v>
      </c>
      <c r="C136" s="24" t="str">
        <f t="shared" si="13"/>
        <v>Friday</v>
      </c>
      <c r="D136" s="6" t="s">
        <v>247</v>
      </c>
      <c r="E136" s="6"/>
      <c r="F136" s="6" t="s">
        <v>333</v>
      </c>
      <c r="G136" s="18">
        <v>10000</v>
      </c>
      <c r="H136" s="6" t="s">
        <v>110</v>
      </c>
      <c r="I136" s="6"/>
      <c r="K136"/>
    </row>
    <row r="137" spans="1:12" ht="12.75" x14ac:dyDescent="0.2">
      <c r="A137" s="10">
        <f t="shared" si="12"/>
        <v>135</v>
      </c>
      <c r="B137" s="19">
        <v>45968</v>
      </c>
      <c r="C137" s="24" t="str">
        <f t="shared" si="13"/>
        <v>Friday</v>
      </c>
      <c r="D137" s="6" t="s">
        <v>19</v>
      </c>
      <c r="E137" s="6"/>
      <c r="F137" s="6" t="s">
        <v>334</v>
      </c>
      <c r="G137" s="18">
        <v>46500</v>
      </c>
      <c r="H137" s="6" t="s">
        <v>185</v>
      </c>
      <c r="I137" s="6"/>
      <c r="K137"/>
      <c r="L137" s="23"/>
    </row>
    <row r="138" spans="1:12" ht="12.75" x14ac:dyDescent="0.2">
      <c r="A138" s="10">
        <f t="shared" si="12"/>
        <v>136</v>
      </c>
      <c r="B138" s="19">
        <v>45968</v>
      </c>
      <c r="C138" s="24" t="str">
        <f t="shared" si="13"/>
        <v>Friday</v>
      </c>
      <c r="D138" s="6" t="s">
        <v>19</v>
      </c>
      <c r="E138" s="6"/>
      <c r="F138" s="6" t="s">
        <v>335</v>
      </c>
      <c r="G138" s="18">
        <v>25000</v>
      </c>
      <c r="H138" s="6" t="s">
        <v>185</v>
      </c>
      <c r="I138" s="6"/>
      <c r="K138"/>
      <c r="L138" s="23"/>
    </row>
    <row r="139" spans="1:12" ht="12.75" x14ac:dyDescent="0.2">
      <c r="A139" s="10">
        <f t="shared" si="12"/>
        <v>137</v>
      </c>
      <c r="B139" s="19">
        <v>45968</v>
      </c>
      <c r="C139" s="24" t="str">
        <f t="shared" si="13"/>
        <v>Friday</v>
      </c>
      <c r="D139" s="6" t="s">
        <v>230</v>
      </c>
      <c r="E139" s="6" t="s">
        <v>324</v>
      </c>
      <c r="F139" s="6" t="s">
        <v>336</v>
      </c>
      <c r="G139" s="18">
        <v>182</v>
      </c>
      <c r="H139" s="6" t="s">
        <v>182</v>
      </c>
      <c r="I139" s="6"/>
      <c r="K139"/>
      <c r="L139" s="23"/>
    </row>
    <row r="140" spans="1:12" ht="12.75" x14ac:dyDescent="0.2">
      <c r="A140" s="10">
        <f t="shared" si="12"/>
        <v>138</v>
      </c>
      <c r="B140" s="19">
        <v>45971</v>
      </c>
      <c r="C140" s="24" t="str">
        <f t="shared" si="13"/>
        <v>Monday</v>
      </c>
      <c r="D140" s="6" t="s">
        <v>69</v>
      </c>
      <c r="E140" s="6" t="s">
        <v>211</v>
      </c>
      <c r="F140" s="6" t="s">
        <v>212</v>
      </c>
      <c r="G140" s="18">
        <v>10000</v>
      </c>
      <c r="H140" s="6" t="s">
        <v>110</v>
      </c>
      <c r="I140" s="6"/>
      <c r="K140"/>
      <c r="L140" s="23"/>
    </row>
    <row r="141" spans="1:12" ht="12.75" x14ac:dyDescent="0.2">
      <c r="A141" s="10">
        <f t="shared" si="12"/>
        <v>139</v>
      </c>
      <c r="B141" s="19">
        <v>45971</v>
      </c>
      <c r="C141" s="24" t="str">
        <f t="shared" si="13"/>
        <v>Monday</v>
      </c>
      <c r="D141" s="6" t="s">
        <v>230</v>
      </c>
      <c r="E141" s="6"/>
      <c r="F141" s="6" t="s">
        <v>337</v>
      </c>
      <c r="G141" s="18">
        <v>21437.599999999999</v>
      </c>
      <c r="H141" s="6" t="s">
        <v>110</v>
      </c>
      <c r="I141" s="6"/>
      <c r="K141"/>
      <c r="L141" s="23"/>
    </row>
    <row r="142" spans="1:12" ht="12.75" x14ac:dyDescent="0.2">
      <c r="A142" s="10">
        <f t="shared" si="12"/>
        <v>140</v>
      </c>
      <c r="B142" s="19">
        <v>45971</v>
      </c>
      <c r="C142" s="24" t="str">
        <f t="shared" si="13"/>
        <v>Monday</v>
      </c>
      <c r="D142" s="6" t="s">
        <v>247</v>
      </c>
      <c r="E142" s="6"/>
      <c r="F142" s="6" t="s">
        <v>338</v>
      </c>
      <c r="G142" s="18">
        <v>-21437.599999999999</v>
      </c>
      <c r="H142" s="6" t="s">
        <v>22</v>
      </c>
      <c r="I142" s="6"/>
      <c r="K142"/>
      <c r="L142" s="23"/>
    </row>
    <row r="143" spans="1:12" ht="12.75" x14ac:dyDescent="0.2">
      <c r="A143" s="10">
        <f t="shared" si="12"/>
        <v>141</v>
      </c>
      <c r="B143" s="19">
        <v>45971</v>
      </c>
      <c r="C143" s="24" t="str">
        <f t="shared" si="13"/>
        <v>Monday</v>
      </c>
      <c r="D143" s="6" t="s">
        <v>214</v>
      </c>
      <c r="E143" s="6"/>
      <c r="F143" s="6" t="s">
        <v>339</v>
      </c>
      <c r="G143" s="18">
        <v>440</v>
      </c>
      <c r="H143" s="6" t="s">
        <v>182</v>
      </c>
      <c r="I143" s="6"/>
      <c r="K143"/>
    </row>
    <row r="144" spans="1:12" ht="12.75" x14ac:dyDescent="0.2">
      <c r="A144" s="10">
        <f t="shared" si="12"/>
        <v>142</v>
      </c>
      <c r="B144" s="19">
        <v>45971</v>
      </c>
      <c r="C144" s="24" t="str">
        <f t="shared" si="13"/>
        <v>Monday</v>
      </c>
      <c r="D144" s="6" t="s">
        <v>230</v>
      </c>
      <c r="E144" s="6"/>
      <c r="F144" s="6" t="s">
        <v>261</v>
      </c>
      <c r="G144" s="18">
        <v>210</v>
      </c>
      <c r="H144" s="6" t="s">
        <v>22</v>
      </c>
      <c r="I144" s="6"/>
      <c r="K144"/>
    </row>
    <row r="145" spans="1:11" ht="12.75" x14ac:dyDescent="0.2">
      <c r="A145" s="10">
        <f t="shared" si="12"/>
        <v>143</v>
      </c>
      <c r="B145" s="19">
        <v>45971</v>
      </c>
      <c r="C145" s="24" t="str">
        <f t="shared" si="13"/>
        <v>Monday</v>
      </c>
      <c r="D145" s="6" t="s">
        <v>247</v>
      </c>
      <c r="E145" s="6"/>
      <c r="F145" s="6" t="s">
        <v>340</v>
      </c>
      <c r="G145" s="18">
        <v>-5000</v>
      </c>
      <c r="H145" s="6" t="s">
        <v>25</v>
      </c>
      <c r="I145" s="6"/>
      <c r="K145"/>
    </row>
    <row r="146" spans="1:11" ht="12.75" x14ac:dyDescent="0.2">
      <c r="A146" s="10">
        <f t="shared" si="12"/>
        <v>144</v>
      </c>
      <c r="B146" s="19">
        <v>45971</v>
      </c>
      <c r="C146" s="24" t="str">
        <f t="shared" si="13"/>
        <v>Monday</v>
      </c>
      <c r="D146" s="6" t="s">
        <v>247</v>
      </c>
      <c r="E146" s="6"/>
      <c r="F146" s="6" t="s">
        <v>341</v>
      </c>
      <c r="G146" s="18">
        <v>5000</v>
      </c>
      <c r="H146" s="6" t="s">
        <v>110</v>
      </c>
      <c r="I146" s="6"/>
      <c r="K146"/>
    </row>
    <row r="147" spans="1:11" ht="12.75" x14ac:dyDescent="0.2">
      <c r="A147" s="10">
        <f t="shared" si="12"/>
        <v>145</v>
      </c>
      <c r="B147" s="19">
        <v>45972</v>
      </c>
      <c r="C147" s="24" t="str">
        <f t="shared" si="13"/>
        <v>Tuesday</v>
      </c>
      <c r="D147" s="6" t="s">
        <v>19</v>
      </c>
      <c r="E147" s="6"/>
      <c r="F147" s="6" t="s">
        <v>342</v>
      </c>
      <c r="G147" s="18">
        <v>20000</v>
      </c>
      <c r="H147" s="6" t="s">
        <v>110</v>
      </c>
      <c r="I147" s="6"/>
      <c r="K147"/>
    </row>
    <row r="148" spans="1:11" ht="12.75" x14ac:dyDescent="0.2">
      <c r="A148" s="10">
        <f t="shared" si="12"/>
        <v>146</v>
      </c>
      <c r="B148" s="19">
        <v>45972</v>
      </c>
      <c r="C148" s="24" t="str">
        <f t="shared" si="13"/>
        <v>Tuesday</v>
      </c>
      <c r="D148" s="6" t="s">
        <v>19</v>
      </c>
      <c r="E148" s="6"/>
      <c r="F148" s="6" t="s">
        <v>343</v>
      </c>
      <c r="G148" s="18">
        <v>8000</v>
      </c>
      <c r="H148" s="6" t="s">
        <v>110</v>
      </c>
      <c r="I148" s="6"/>
      <c r="K148"/>
    </row>
    <row r="149" spans="1:11" ht="12.75" x14ac:dyDescent="0.2">
      <c r="A149" s="10">
        <f t="shared" si="12"/>
        <v>147</v>
      </c>
      <c r="B149" s="19">
        <v>45972</v>
      </c>
      <c r="C149" s="24" t="str">
        <f t="shared" si="13"/>
        <v>Tuesday</v>
      </c>
      <c r="D149" s="6" t="s">
        <v>19</v>
      </c>
      <c r="E149" s="6"/>
      <c r="F149" s="6" t="s">
        <v>344</v>
      </c>
      <c r="G149" s="18">
        <v>6000</v>
      </c>
      <c r="H149" s="6" t="s">
        <v>110</v>
      </c>
      <c r="I149" s="6"/>
      <c r="K149"/>
    </row>
    <row r="150" spans="1:11" ht="12.75" x14ac:dyDescent="0.2">
      <c r="A150" s="10">
        <f t="shared" si="12"/>
        <v>148</v>
      </c>
      <c r="B150" s="19">
        <v>45972</v>
      </c>
      <c r="C150" s="24" t="str">
        <f t="shared" si="13"/>
        <v>Tuesday</v>
      </c>
      <c r="D150" s="6" t="s">
        <v>255</v>
      </c>
      <c r="E150" s="6"/>
      <c r="F150" s="6" t="s">
        <v>273</v>
      </c>
      <c r="G150" s="72">
        <v>49000</v>
      </c>
      <c r="H150" s="6" t="s">
        <v>22</v>
      </c>
      <c r="I150" s="6"/>
      <c r="K150"/>
    </row>
    <row r="151" spans="1:11" ht="12.75" x14ac:dyDescent="0.2">
      <c r="A151" s="10">
        <f t="shared" si="12"/>
        <v>149</v>
      </c>
      <c r="B151" s="19">
        <v>45972</v>
      </c>
      <c r="C151" s="24" t="str">
        <f t="shared" si="13"/>
        <v>Tuesday</v>
      </c>
      <c r="D151" s="6" t="s">
        <v>255</v>
      </c>
      <c r="E151" s="6"/>
      <c r="F151" s="6" t="s">
        <v>273</v>
      </c>
      <c r="G151" s="72">
        <v>-49000</v>
      </c>
      <c r="H151" s="6" t="s">
        <v>110</v>
      </c>
      <c r="I151" s="6"/>
      <c r="K151"/>
    </row>
    <row r="152" spans="1:11" ht="12.75" x14ac:dyDescent="0.2">
      <c r="A152" s="10">
        <f t="shared" si="12"/>
        <v>150</v>
      </c>
      <c r="B152" s="19">
        <v>45972</v>
      </c>
      <c r="C152" s="24" t="str">
        <f t="shared" si="13"/>
        <v>Tuesday</v>
      </c>
      <c r="D152" s="6" t="s">
        <v>19</v>
      </c>
      <c r="E152" s="6"/>
      <c r="F152" s="6" t="s">
        <v>345</v>
      </c>
      <c r="G152" s="18">
        <v>15000</v>
      </c>
      <c r="H152" s="6" t="s">
        <v>110</v>
      </c>
      <c r="I152" s="6"/>
      <c r="K152"/>
    </row>
    <row r="153" spans="1:11" ht="12.75" x14ac:dyDescent="0.2">
      <c r="A153" s="10">
        <f t="shared" si="12"/>
        <v>151</v>
      </c>
      <c r="B153" s="19">
        <v>45974</v>
      </c>
      <c r="C153" s="24" t="str">
        <f t="shared" si="13"/>
        <v>Thursday</v>
      </c>
      <c r="D153" s="6" t="s">
        <v>214</v>
      </c>
      <c r="E153" s="6"/>
      <c r="F153" s="6" t="s">
        <v>248</v>
      </c>
      <c r="G153" s="18">
        <v>5000</v>
      </c>
      <c r="H153" s="6" t="s">
        <v>22</v>
      </c>
      <c r="I153" s="6"/>
      <c r="K153"/>
    </row>
    <row r="154" spans="1:11" ht="12.75" x14ac:dyDescent="0.2">
      <c r="A154" s="10">
        <f t="shared" si="12"/>
        <v>152</v>
      </c>
      <c r="B154" s="19">
        <v>45974</v>
      </c>
      <c r="C154" s="24" t="str">
        <f t="shared" si="13"/>
        <v>Thursday</v>
      </c>
      <c r="D154" s="6" t="s">
        <v>214</v>
      </c>
      <c r="E154" s="6"/>
      <c r="F154" s="6" t="s">
        <v>346</v>
      </c>
      <c r="G154" s="18">
        <v>1587.49</v>
      </c>
      <c r="H154" s="6" t="s">
        <v>22</v>
      </c>
      <c r="I154" s="6"/>
      <c r="K154"/>
    </row>
    <row r="155" spans="1:11" ht="12.75" x14ac:dyDescent="0.2">
      <c r="A155" s="10">
        <f t="shared" si="12"/>
        <v>153</v>
      </c>
      <c r="B155" s="19">
        <v>45974</v>
      </c>
      <c r="C155" s="24" t="str">
        <f t="shared" si="13"/>
        <v>Thursday</v>
      </c>
      <c r="D155" s="6" t="s">
        <v>69</v>
      </c>
      <c r="E155" s="6" t="s">
        <v>211</v>
      </c>
      <c r="F155" s="6" t="s">
        <v>212</v>
      </c>
      <c r="G155" s="18">
        <v>10000</v>
      </c>
      <c r="H155" s="6" t="s">
        <v>22</v>
      </c>
      <c r="I155" s="6"/>
      <c r="K155"/>
    </row>
    <row r="156" spans="1:11" ht="12.75" x14ac:dyDescent="0.2">
      <c r="A156" s="10">
        <f t="shared" si="12"/>
        <v>154</v>
      </c>
      <c r="B156" s="19">
        <v>45974</v>
      </c>
      <c r="C156" s="24" t="str">
        <f t="shared" si="13"/>
        <v>Thursday</v>
      </c>
      <c r="D156" s="6" t="s">
        <v>230</v>
      </c>
      <c r="E156" s="6"/>
      <c r="F156" s="6" t="s">
        <v>324</v>
      </c>
      <c r="G156" s="18">
        <v>248</v>
      </c>
      <c r="H156" s="6" t="s">
        <v>22</v>
      </c>
      <c r="I156" s="6"/>
      <c r="K156"/>
    </row>
    <row r="157" spans="1:11" ht="12.75" x14ac:dyDescent="0.2">
      <c r="A157" s="10">
        <f t="shared" si="12"/>
        <v>155</v>
      </c>
      <c r="B157" s="19">
        <v>45975</v>
      </c>
      <c r="C157" s="24" t="str">
        <f t="shared" si="13"/>
        <v>Friday</v>
      </c>
      <c r="D157" s="6" t="s">
        <v>214</v>
      </c>
      <c r="E157" s="6"/>
      <c r="F157" s="6" t="s">
        <v>347</v>
      </c>
      <c r="G157" s="18">
        <v>210</v>
      </c>
      <c r="H157" s="6" t="s">
        <v>182</v>
      </c>
      <c r="I157" s="6"/>
      <c r="K157"/>
    </row>
    <row r="158" spans="1:11" ht="12.75" x14ac:dyDescent="0.2">
      <c r="A158" s="10">
        <f t="shared" si="12"/>
        <v>156</v>
      </c>
      <c r="B158" s="19">
        <v>45975</v>
      </c>
      <c r="C158" s="24" t="str">
        <f t="shared" si="13"/>
        <v>Friday</v>
      </c>
      <c r="D158" s="6" t="s">
        <v>230</v>
      </c>
      <c r="E158" s="6"/>
      <c r="F158" s="6" t="s">
        <v>324</v>
      </c>
      <c r="G158" s="18">
        <v>154</v>
      </c>
      <c r="H158" s="6" t="s">
        <v>22</v>
      </c>
      <c r="I158" s="6"/>
      <c r="K158"/>
    </row>
    <row r="159" spans="1:11" ht="12.75" x14ac:dyDescent="0.2">
      <c r="A159" s="10">
        <f t="shared" si="12"/>
        <v>157</v>
      </c>
      <c r="B159" s="19">
        <v>45976</v>
      </c>
      <c r="C159" s="24" t="str">
        <f t="shared" si="13"/>
        <v>Saturday</v>
      </c>
      <c r="D159" s="6" t="s">
        <v>19</v>
      </c>
      <c r="E159" s="6"/>
      <c r="F159" s="6" t="s">
        <v>348</v>
      </c>
      <c r="G159" s="18">
        <v>40000</v>
      </c>
      <c r="H159" s="6" t="s">
        <v>110</v>
      </c>
      <c r="I159" s="6"/>
      <c r="K159"/>
    </row>
    <row r="160" spans="1:11" ht="12.75" x14ac:dyDescent="0.2">
      <c r="A160" s="10">
        <f t="shared" si="12"/>
        <v>158</v>
      </c>
      <c r="B160" s="19">
        <v>45978</v>
      </c>
      <c r="C160" s="24" t="str">
        <f t="shared" si="13"/>
        <v>Monday</v>
      </c>
      <c r="D160" s="6" t="s">
        <v>214</v>
      </c>
      <c r="E160" s="6"/>
      <c r="F160" s="6" t="s">
        <v>305</v>
      </c>
      <c r="G160" s="18">
        <v>1178</v>
      </c>
      <c r="H160" s="6" t="s">
        <v>182</v>
      </c>
      <c r="I160" s="6"/>
      <c r="K160"/>
    </row>
    <row r="161" spans="1:11" ht="12.75" x14ac:dyDescent="0.2">
      <c r="A161" s="10">
        <f t="shared" si="12"/>
        <v>159</v>
      </c>
      <c r="B161" s="19">
        <v>45978</v>
      </c>
      <c r="C161" s="24" t="str">
        <f t="shared" si="13"/>
        <v>Monday</v>
      </c>
      <c r="D161" s="6" t="s">
        <v>247</v>
      </c>
      <c r="E161" s="6"/>
      <c r="F161" s="6" t="s">
        <v>349</v>
      </c>
      <c r="G161" s="18">
        <v>1200</v>
      </c>
      <c r="H161" s="6" t="s">
        <v>110</v>
      </c>
      <c r="I161" s="6"/>
      <c r="K161"/>
    </row>
    <row r="162" spans="1:11" ht="12.75" x14ac:dyDescent="0.2">
      <c r="A162" s="10">
        <f t="shared" si="12"/>
        <v>160</v>
      </c>
      <c r="B162" s="19">
        <v>45978</v>
      </c>
      <c r="C162" s="24" t="str">
        <f t="shared" si="13"/>
        <v>Monday</v>
      </c>
      <c r="D162" s="6" t="s">
        <v>247</v>
      </c>
      <c r="E162" s="6"/>
      <c r="F162" s="6" t="s">
        <v>350</v>
      </c>
      <c r="G162" s="18">
        <v>-1200</v>
      </c>
      <c r="H162" s="6" t="s">
        <v>182</v>
      </c>
      <c r="I162" s="6"/>
      <c r="K162"/>
    </row>
    <row r="163" spans="1:11" ht="12.75" x14ac:dyDescent="0.2">
      <c r="A163" s="10">
        <f t="shared" si="12"/>
        <v>161</v>
      </c>
      <c r="B163" s="19">
        <v>45978</v>
      </c>
      <c r="C163" s="24" t="str">
        <f t="shared" si="13"/>
        <v>Monday</v>
      </c>
      <c r="D163" s="6" t="s">
        <v>19</v>
      </c>
      <c r="E163" s="6"/>
      <c r="F163" s="6" t="s">
        <v>351</v>
      </c>
      <c r="G163" s="18">
        <v>20000</v>
      </c>
      <c r="H163" s="6" t="s">
        <v>110</v>
      </c>
      <c r="I163" s="6"/>
      <c r="K163"/>
    </row>
    <row r="164" spans="1:11" ht="12.75" x14ac:dyDescent="0.2">
      <c r="A164" s="10">
        <f t="shared" si="12"/>
        <v>162</v>
      </c>
      <c r="B164" s="19">
        <v>45978</v>
      </c>
      <c r="C164" s="24" t="str">
        <f t="shared" si="13"/>
        <v>Monday</v>
      </c>
      <c r="D164" s="6" t="s">
        <v>239</v>
      </c>
      <c r="E164" s="6"/>
      <c r="F164" s="6" t="s">
        <v>352</v>
      </c>
      <c r="G164" s="18">
        <v>32000</v>
      </c>
      <c r="H164" s="6" t="s">
        <v>110</v>
      </c>
      <c r="I164" s="6"/>
      <c r="K164"/>
    </row>
    <row r="165" spans="1:11" ht="12.75" x14ac:dyDescent="0.2">
      <c r="A165" s="10">
        <f t="shared" si="12"/>
        <v>163</v>
      </c>
      <c r="B165" s="19">
        <v>45978</v>
      </c>
      <c r="C165" s="24" t="str">
        <f t="shared" si="13"/>
        <v>Monday</v>
      </c>
      <c r="D165" s="6" t="s">
        <v>247</v>
      </c>
      <c r="E165" s="6"/>
      <c r="F165" s="6" t="s">
        <v>353</v>
      </c>
      <c r="G165" s="18">
        <v>49000</v>
      </c>
      <c r="H165" s="6" t="s">
        <v>110</v>
      </c>
      <c r="I165" s="6"/>
      <c r="K165"/>
    </row>
    <row r="166" spans="1:11" ht="12.75" x14ac:dyDescent="0.2">
      <c r="A166" s="10">
        <f t="shared" si="12"/>
        <v>164</v>
      </c>
      <c r="B166" s="19">
        <v>45978</v>
      </c>
      <c r="C166" s="24" t="str">
        <f t="shared" si="13"/>
        <v>Monday</v>
      </c>
      <c r="D166" s="6" t="s">
        <v>247</v>
      </c>
      <c r="E166" s="6"/>
      <c r="F166" s="6" t="s">
        <v>354</v>
      </c>
      <c r="G166" s="18">
        <v>-49000</v>
      </c>
      <c r="H166" s="6" t="s">
        <v>22</v>
      </c>
      <c r="I166" s="6"/>
      <c r="K166"/>
    </row>
    <row r="167" spans="1:11" ht="12.75" x14ac:dyDescent="0.2">
      <c r="A167" s="10">
        <f t="shared" si="12"/>
        <v>165</v>
      </c>
      <c r="B167" s="19">
        <v>45979</v>
      </c>
      <c r="C167" s="24" t="str">
        <f t="shared" si="13"/>
        <v>Tuesday</v>
      </c>
      <c r="D167" s="6" t="s">
        <v>69</v>
      </c>
      <c r="E167" s="6" t="s">
        <v>211</v>
      </c>
      <c r="F167" s="6" t="s">
        <v>212</v>
      </c>
      <c r="G167" s="18">
        <v>20000</v>
      </c>
      <c r="H167" s="6" t="s">
        <v>110</v>
      </c>
      <c r="I167" s="6"/>
      <c r="K167"/>
    </row>
    <row r="168" spans="1:11" ht="12.75" x14ac:dyDescent="0.2">
      <c r="A168" s="10">
        <f t="shared" si="12"/>
        <v>166</v>
      </c>
      <c r="B168" s="19">
        <v>45980</v>
      </c>
      <c r="C168" s="24" t="str">
        <f t="shared" si="13"/>
        <v>Wednesday</v>
      </c>
      <c r="D168" s="6" t="s">
        <v>330</v>
      </c>
      <c r="E168" s="6"/>
      <c r="F168" s="6" t="s">
        <v>355</v>
      </c>
      <c r="G168" s="18">
        <v>21250</v>
      </c>
      <c r="H168" s="6" t="s">
        <v>110</v>
      </c>
      <c r="I168" s="6"/>
      <c r="K168"/>
    </row>
    <row r="169" spans="1:11" ht="12.75" x14ac:dyDescent="0.2">
      <c r="A169" s="10">
        <f t="shared" si="12"/>
        <v>167</v>
      </c>
      <c r="B169" s="19">
        <v>45980</v>
      </c>
      <c r="C169" s="24" t="str">
        <f t="shared" si="13"/>
        <v>Wednesday</v>
      </c>
      <c r="D169" s="6" t="s">
        <v>330</v>
      </c>
      <c r="E169" s="6"/>
      <c r="F169" s="6" t="s">
        <v>356</v>
      </c>
      <c r="G169" s="18">
        <v>-21250</v>
      </c>
      <c r="H169" s="6" t="s">
        <v>185</v>
      </c>
      <c r="I169" s="6"/>
      <c r="K169"/>
    </row>
    <row r="170" spans="1:11" ht="12.75" x14ac:dyDescent="0.2">
      <c r="A170" s="10">
        <f t="shared" si="12"/>
        <v>168</v>
      </c>
      <c r="B170" s="19">
        <v>45980</v>
      </c>
      <c r="C170" s="24" t="str">
        <f t="shared" si="13"/>
        <v>Wednesday</v>
      </c>
      <c r="D170" s="6" t="s">
        <v>247</v>
      </c>
      <c r="E170" s="6"/>
      <c r="F170" s="6" t="s">
        <v>247</v>
      </c>
      <c r="G170" s="73">
        <v>-20338.89</v>
      </c>
      <c r="H170" s="6" t="s">
        <v>22</v>
      </c>
      <c r="I170" s="6"/>
      <c r="K170"/>
    </row>
    <row r="171" spans="1:11" ht="12.75" x14ac:dyDescent="0.2">
      <c r="A171" s="10">
        <f t="shared" si="12"/>
        <v>169</v>
      </c>
      <c r="B171" s="19">
        <v>45980</v>
      </c>
      <c r="C171" s="24" t="str">
        <f t="shared" si="13"/>
        <v>Wednesday</v>
      </c>
      <c r="D171" s="6" t="s">
        <v>247</v>
      </c>
      <c r="E171" s="6"/>
      <c r="F171" s="6" t="s">
        <v>247</v>
      </c>
      <c r="G171" s="73">
        <v>-13505.600000000006</v>
      </c>
      <c r="H171" s="6" t="s">
        <v>216</v>
      </c>
      <c r="I171" s="6"/>
      <c r="K171"/>
    </row>
    <row r="172" spans="1:11" ht="12.75" x14ac:dyDescent="0.2">
      <c r="A172" s="10">
        <f t="shared" si="12"/>
        <v>170</v>
      </c>
      <c r="B172" s="19">
        <v>45980</v>
      </c>
      <c r="C172" s="24" t="str">
        <f t="shared" si="13"/>
        <v>Wednesday</v>
      </c>
      <c r="D172" s="6" t="s">
        <v>247</v>
      </c>
      <c r="E172" s="6"/>
      <c r="F172" s="6" t="s">
        <v>247</v>
      </c>
      <c r="G172" s="73">
        <v>-425.60000000000582</v>
      </c>
      <c r="H172" s="6" t="s">
        <v>182</v>
      </c>
      <c r="I172" s="6"/>
      <c r="K172"/>
    </row>
    <row r="173" spans="1:11" ht="12.75" x14ac:dyDescent="0.2">
      <c r="A173" s="10">
        <f t="shared" si="12"/>
        <v>171</v>
      </c>
      <c r="B173" s="19">
        <v>45980</v>
      </c>
      <c r="C173" s="24" t="str">
        <f t="shared" si="13"/>
        <v>Wednesday</v>
      </c>
      <c r="D173" s="6" t="s">
        <v>247</v>
      </c>
      <c r="E173" s="6"/>
      <c r="F173" s="6" t="s">
        <v>247</v>
      </c>
      <c r="G173" s="73">
        <v>-8615.6000000000058</v>
      </c>
      <c r="H173" s="6" t="s">
        <v>25</v>
      </c>
      <c r="I173" s="6"/>
      <c r="K173"/>
    </row>
    <row r="174" spans="1:11" ht="12.75" x14ac:dyDescent="0.2">
      <c r="A174" s="10">
        <f t="shared" si="12"/>
        <v>172</v>
      </c>
      <c r="B174" s="19">
        <v>45980</v>
      </c>
      <c r="C174" s="24" t="str">
        <f t="shared" si="13"/>
        <v>Wednesday</v>
      </c>
      <c r="D174" s="6" t="s">
        <v>247</v>
      </c>
      <c r="E174" s="6"/>
      <c r="F174" s="6" t="s">
        <v>357</v>
      </c>
      <c r="G174" s="18">
        <v>42885.69</v>
      </c>
      <c r="H174" s="6" t="s">
        <v>110</v>
      </c>
      <c r="I174" s="6"/>
      <c r="K174"/>
    </row>
    <row r="175" spans="1:11" ht="12.75" x14ac:dyDescent="0.2">
      <c r="A175" s="10">
        <f t="shared" si="12"/>
        <v>173</v>
      </c>
      <c r="B175" s="19">
        <v>45981</v>
      </c>
      <c r="C175" s="24" t="str">
        <f t="shared" si="13"/>
        <v>Thursday</v>
      </c>
      <c r="D175" s="6" t="s">
        <v>358</v>
      </c>
      <c r="E175" s="6"/>
      <c r="F175" s="6" t="s">
        <v>359</v>
      </c>
      <c r="G175" s="18">
        <v>21250</v>
      </c>
      <c r="H175" s="6" t="s">
        <v>185</v>
      </c>
      <c r="I175" s="6"/>
      <c r="K175"/>
    </row>
    <row r="176" spans="1:11" ht="12.75" x14ac:dyDescent="0.2">
      <c r="A176" s="10">
        <f t="shared" si="12"/>
        <v>174</v>
      </c>
      <c r="B176" s="19">
        <v>45982</v>
      </c>
      <c r="C176" s="24" t="str">
        <f t="shared" si="13"/>
        <v>Friday</v>
      </c>
      <c r="D176" s="6" t="s">
        <v>247</v>
      </c>
      <c r="E176" s="6"/>
      <c r="F176" s="6" t="s">
        <v>360</v>
      </c>
      <c r="G176" s="72">
        <v>-20000</v>
      </c>
      <c r="H176" s="6" t="s">
        <v>22</v>
      </c>
      <c r="I176" s="6"/>
      <c r="K176"/>
    </row>
    <row r="177" spans="1:11" ht="12.75" x14ac:dyDescent="0.2">
      <c r="A177" s="10">
        <f t="shared" si="12"/>
        <v>175</v>
      </c>
      <c r="B177" s="19">
        <v>45982</v>
      </c>
      <c r="C177" s="24" t="str">
        <f t="shared" si="13"/>
        <v>Friday</v>
      </c>
      <c r="D177" s="6" t="s">
        <v>247</v>
      </c>
      <c r="E177" s="6"/>
      <c r="F177" s="6" t="s">
        <v>360</v>
      </c>
      <c r="G177" s="72">
        <v>20000</v>
      </c>
      <c r="H177" s="6" t="s">
        <v>110</v>
      </c>
      <c r="I177" s="6"/>
      <c r="K177"/>
    </row>
    <row r="178" spans="1:11" ht="12.75" x14ac:dyDescent="0.2">
      <c r="A178" s="10">
        <f t="shared" si="12"/>
        <v>176</v>
      </c>
      <c r="B178" s="19">
        <v>45982</v>
      </c>
      <c r="C178" s="24" t="str">
        <f t="shared" si="13"/>
        <v>Friday</v>
      </c>
      <c r="D178" s="6" t="s">
        <v>239</v>
      </c>
      <c r="E178" s="6"/>
      <c r="F178" s="6" t="s">
        <v>361</v>
      </c>
      <c r="G178" s="72">
        <v>179.66</v>
      </c>
      <c r="H178" s="6" t="s">
        <v>110</v>
      </c>
      <c r="I178" s="6"/>
      <c r="K178"/>
    </row>
    <row r="179" spans="1:11" ht="12.75" x14ac:dyDescent="0.2">
      <c r="A179" s="10">
        <f t="shared" si="12"/>
        <v>177</v>
      </c>
      <c r="B179" s="19">
        <v>45986</v>
      </c>
      <c r="C179" s="24" t="str">
        <f t="shared" si="13"/>
        <v>Tuesday</v>
      </c>
      <c r="D179" s="6" t="s">
        <v>230</v>
      </c>
      <c r="E179" s="6"/>
      <c r="F179" s="6" t="s">
        <v>362</v>
      </c>
      <c r="G179" s="72">
        <v>95373.88</v>
      </c>
      <c r="H179" s="6" t="s">
        <v>22</v>
      </c>
      <c r="I179" s="6"/>
      <c r="K179"/>
    </row>
    <row r="180" spans="1:11" ht="12.75" x14ac:dyDescent="0.2">
      <c r="A180" s="10">
        <f t="shared" si="12"/>
        <v>178</v>
      </c>
      <c r="B180" s="19">
        <v>45986</v>
      </c>
      <c r="C180" s="24" t="str">
        <f t="shared" si="13"/>
        <v>Tuesday</v>
      </c>
      <c r="D180" s="6" t="s">
        <v>251</v>
      </c>
      <c r="E180" s="6"/>
      <c r="F180" s="6" t="s">
        <v>363</v>
      </c>
      <c r="G180" s="72">
        <v>1180</v>
      </c>
      <c r="H180" s="6" t="s">
        <v>110</v>
      </c>
      <c r="I180" s="6"/>
      <c r="K180"/>
    </row>
    <row r="181" spans="1:11" ht="12.75" x14ac:dyDescent="0.2">
      <c r="A181" s="10">
        <f t="shared" si="12"/>
        <v>179</v>
      </c>
      <c r="B181" s="19">
        <v>45986</v>
      </c>
      <c r="C181" s="24" t="str">
        <f t="shared" si="13"/>
        <v>Tuesday</v>
      </c>
      <c r="D181" s="6"/>
      <c r="E181" s="6"/>
      <c r="F181" s="6" t="s">
        <v>364</v>
      </c>
      <c r="G181" s="72">
        <v>23036.460000000006</v>
      </c>
      <c r="H181" s="6" t="s">
        <v>110</v>
      </c>
      <c r="I181" s="6"/>
      <c r="K181"/>
    </row>
    <row r="182" spans="1:11" ht="12.75" x14ac:dyDescent="0.2">
      <c r="A182" s="10">
        <f t="shared" si="12"/>
        <v>180</v>
      </c>
      <c r="B182" s="19">
        <v>45986</v>
      </c>
      <c r="C182" s="24" t="str">
        <f t="shared" si="13"/>
        <v>Tuesday</v>
      </c>
      <c r="D182" s="6"/>
      <c r="E182" s="6"/>
      <c r="F182" s="6" t="s">
        <v>364</v>
      </c>
      <c r="G182" s="72">
        <v>-23036.46</v>
      </c>
      <c r="H182" s="6" t="s">
        <v>22</v>
      </c>
      <c r="I182" s="6"/>
      <c r="K182"/>
    </row>
    <row r="183" spans="1:11" ht="12.75" x14ac:dyDescent="0.2">
      <c r="A183" s="10">
        <f t="shared" si="12"/>
        <v>181</v>
      </c>
      <c r="B183" s="19">
        <v>45986</v>
      </c>
      <c r="C183" s="24" t="str">
        <f t="shared" si="13"/>
        <v>Tuesday</v>
      </c>
      <c r="D183" s="6" t="s">
        <v>247</v>
      </c>
      <c r="E183" s="6"/>
      <c r="F183" s="6" t="s">
        <v>360</v>
      </c>
      <c r="G183" s="18">
        <v>-10000</v>
      </c>
      <c r="H183" s="6" t="s">
        <v>25</v>
      </c>
      <c r="I183" s="6"/>
      <c r="K183"/>
    </row>
    <row r="184" spans="1:11" ht="12.75" x14ac:dyDescent="0.2">
      <c r="A184" s="10">
        <f t="shared" ref="A184:A247" si="14">A183+1</f>
        <v>182</v>
      </c>
      <c r="B184" s="19">
        <v>45986</v>
      </c>
      <c r="C184" s="24" t="str">
        <f t="shared" ref="C184:C247" si="15">TEXT(B184,"dddd")</f>
        <v>Tuesday</v>
      </c>
      <c r="D184" s="6" t="s">
        <v>247</v>
      </c>
      <c r="E184" s="6"/>
      <c r="F184" s="6" t="s">
        <v>360</v>
      </c>
      <c r="G184" s="18">
        <v>10000</v>
      </c>
      <c r="H184" s="6" t="s">
        <v>110</v>
      </c>
      <c r="I184" s="6"/>
      <c r="K184"/>
    </row>
    <row r="185" spans="1:11" ht="12.75" x14ac:dyDescent="0.2">
      <c r="A185" s="10">
        <f t="shared" si="14"/>
        <v>183</v>
      </c>
      <c r="B185" s="19">
        <v>45987</v>
      </c>
      <c r="C185" s="24" t="str">
        <f t="shared" si="15"/>
        <v>Wednesday</v>
      </c>
      <c r="D185" s="6" t="s">
        <v>214</v>
      </c>
      <c r="E185" s="6" t="s">
        <v>365</v>
      </c>
      <c r="F185" s="6" t="s">
        <v>366</v>
      </c>
      <c r="G185" s="18">
        <v>1400</v>
      </c>
      <c r="H185" s="6" t="s">
        <v>110</v>
      </c>
      <c r="I185" s="6"/>
      <c r="K185"/>
    </row>
    <row r="186" spans="1:11" ht="12.75" x14ac:dyDescent="0.2">
      <c r="A186" s="10">
        <f t="shared" si="14"/>
        <v>184</v>
      </c>
      <c r="B186" s="19">
        <v>45988</v>
      </c>
      <c r="C186" s="24" t="str">
        <f t="shared" si="15"/>
        <v>Thursday</v>
      </c>
      <c r="D186" s="6" t="s">
        <v>214</v>
      </c>
      <c r="E186" s="6" t="s">
        <v>231</v>
      </c>
      <c r="F186" s="6" t="s">
        <v>367</v>
      </c>
      <c r="G186" s="18">
        <v>75</v>
      </c>
      <c r="H186" s="6" t="s">
        <v>182</v>
      </c>
      <c r="I186" s="6"/>
      <c r="K186"/>
    </row>
    <row r="187" spans="1:11" ht="12.75" x14ac:dyDescent="0.2">
      <c r="A187" s="10">
        <f t="shared" si="14"/>
        <v>185</v>
      </c>
      <c r="B187" s="19">
        <v>45989</v>
      </c>
      <c r="C187" s="24" t="str">
        <f t="shared" si="15"/>
        <v>Friday</v>
      </c>
      <c r="D187" s="6" t="s">
        <v>247</v>
      </c>
      <c r="E187" s="6"/>
      <c r="F187" s="6" t="s">
        <v>247</v>
      </c>
      <c r="G187" s="18">
        <v>-25000</v>
      </c>
      <c r="H187" s="6" t="s">
        <v>182</v>
      </c>
      <c r="I187" s="6"/>
      <c r="K187"/>
    </row>
    <row r="188" spans="1:11" ht="12.75" x14ac:dyDescent="0.2">
      <c r="A188" s="10">
        <f t="shared" si="14"/>
        <v>186</v>
      </c>
      <c r="B188" s="19">
        <v>45989</v>
      </c>
      <c r="C188" s="24" t="str">
        <f t="shared" si="15"/>
        <v>Friday</v>
      </c>
      <c r="D188" s="6" t="s">
        <v>247</v>
      </c>
      <c r="E188" s="6"/>
      <c r="F188" s="6" t="s">
        <v>247</v>
      </c>
      <c r="G188" s="18">
        <v>25000</v>
      </c>
      <c r="H188" s="6" t="s">
        <v>110</v>
      </c>
      <c r="I188" s="6"/>
      <c r="K188"/>
    </row>
    <row r="189" spans="1:11" ht="12.75" x14ac:dyDescent="0.2">
      <c r="A189" s="10">
        <f t="shared" si="14"/>
        <v>187</v>
      </c>
      <c r="B189" s="19">
        <v>45989</v>
      </c>
      <c r="C189" s="24" t="str">
        <f t="shared" si="15"/>
        <v>Friday</v>
      </c>
      <c r="D189" s="6" t="s">
        <v>214</v>
      </c>
      <c r="E189" s="6" t="s">
        <v>231</v>
      </c>
      <c r="F189" s="6" t="s">
        <v>367</v>
      </c>
      <c r="G189" s="18">
        <v>210</v>
      </c>
      <c r="H189" s="6" t="s">
        <v>182</v>
      </c>
      <c r="I189" s="6"/>
      <c r="K189"/>
    </row>
    <row r="190" spans="1:11" ht="12.75" x14ac:dyDescent="0.2">
      <c r="A190" s="10">
        <f t="shared" si="14"/>
        <v>188</v>
      </c>
      <c r="B190" s="19">
        <v>45989</v>
      </c>
      <c r="C190" s="24" t="str">
        <f t="shared" si="15"/>
        <v>Friday</v>
      </c>
      <c r="D190" s="6" t="s">
        <v>247</v>
      </c>
      <c r="E190" s="6"/>
      <c r="F190" s="6" t="s">
        <v>247</v>
      </c>
      <c r="G190" s="18">
        <v>-22562</v>
      </c>
      <c r="H190" s="6" t="s">
        <v>216</v>
      </c>
      <c r="I190" s="6"/>
      <c r="K190"/>
    </row>
    <row r="191" spans="1:11" ht="12.75" x14ac:dyDescent="0.2">
      <c r="A191" s="10">
        <f t="shared" si="14"/>
        <v>189</v>
      </c>
      <c r="B191" s="19">
        <v>45989</v>
      </c>
      <c r="C191" s="24" t="str">
        <f t="shared" si="15"/>
        <v>Friday</v>
      </c>
      <c r="D191" s="6" t="s">
        <v>247</v>
      </c>
      <c r="E191" s="6"/>
      <c r="F191" s="6" t="s">
        <v>247</v>
      </c>
      <c r="G191" s="18">
        <v>22562</v>
      </c>
      <c r="H191" s="6" t="s">
        <v>110</v>
      </c>
      <c r="I191" s="6"/>
      <c r="K191"/>
    </row>
    <row r="192" spans="1:11" ht="12.75" x14ac:dyDescent="0.2">
      <c r="A192" s="10">
        <f t="shared" si="14"/>
        <v>190</v>
      </c>
      <c r="B192" s="19">
        <v>45989</v>
      </c>
      <c r="C192" s="24" t="str">
        <f t="shared" si="15"/>
        <v>Friday</v>
      </c>
      <c r="D192" s="6" t="s">
        <v>214</v>
      </c>
      <c r="E192" s="6" t="s">
        <v>368</v>
      </c>
      <c r="F192" s="6" t="s">
        <v>369</v>
      </c>
      <c r="G192" s="18">
        <v>22562</v>
      </c>
      <c r="H192" s="6" t="s">
        <v>216</v>
      </c>
      <c r="I192" s="6"/>
      <c r="K192"/>
    </row>
    <row r="193" spans="1:11" ht="12.75" x14ac:dyDescent="0.2">
      <c r="A193" s="10">
        <f t="shared" si="14"/>
        <v>191</v>
      </c>
      <c r="B193" s="19">
        <v>45989</v>
      </c>
      <c r="C193" s="24" t="str">
        <f t="shared" si="15"/>
        <v>Friday</v>
      </c>
      <c r="D193" s="6" t="s">
        <v>247</v>
      </c>
      <c r="E193" s="6"/>
      <c r="F193" s="6" t="s">
        <v>247</v>
      </c>
      <c r="G193" s="18">
        <v>-25000</v>
      </c>
      <c r="H193" s="6" t="s">
        <v>216</v>
      </c>
      <c r="I193" s="6"/>
      <c r="K193"/>
    </row>
    <row r="194" spans="1:11" ht="12.75" x14ac:dyDescent="0.2">
      <c r="A194" s="10">
        <f t="shared" si="14"/>
        <v>192</v>
      </c>
      <c r="B194" s="19">
        <v>45989</v>
      </c>
      <c r="C194" s="24" t="str">
        <f t="shared" si="15"/>
        <v>Friday</v>
      </c>
      <c r="D194" s="6" t="s">
        <v>247</v>
      </c>
      <c r="E194" s="6"/>
      <c r="F194" s="6" t="s">
        <v>247</v>
      </c>
      <c r="G194" s="18">
        <v>25000</v>
      </c>
      <c r="H194" s="6" t="s">
        <v>110</v>
      </c>
      <c r="I194" s="6"/>
      <c r="K194"/>
    </row>
    <row r="195" spans="1:11" ht="12.75" x14ac:dyDescent="0.2">
      <c r="A195" s="10">
        <f t="shared" si="14"/>
        <v>193</v>
      </c>
      <c r="B195" s="19">
        <v>45989</v>
      </c>
      <c r="C195" s="24" t="str">
        <f t="shared" si="15"/>
        <v>Friday</v>
      </c>
      <c r="D195" s="6" t="s">
        <v>247</v>
      </c>
      <c r="E195" s="6"/>
      <c r="F195" s="6" t="s">
        <v>247</v>
      </c>
      <c r="G195" s="18">
        <v>-15000</v>
      </c>
      <c r="H195" s="6" t="s">
        <v>25</v>
      </c>
      <c r="I195" s="6"/>
      <c r="K195"/>
    </row>
    <row r="196" spans="1:11" ht="12.75" x14ac:dyDescent="0.2">
      <c r="A196" s="10">
        <f t="shared" si="14"/>
        <v>194</v>
      </c>
      <c r="B196" s="19">
        <v>45989</v>
      </c>
      <c r="C196" s="24" t="str">
        <f t="shared" si="15"/>
        <v>Friday</v>
      </c>
      <c r="D196" s="6" t="s">
        <v>247</v>
      </c>
      <c r="E196" s="6"/>
      <c r="F196" s="6" t="s">
        <v>247</v>
      </c>
      <c r="G196" s="18">
        <v>15000</v>
      </c>
      <c r="H196" s="6" t="s">
        <v>110</v>
      </c>
      <c r="I196" s="6"/>
      <c r="K196"/>
    </row>
    <row r="197" spans="1:11" ht="12.75" x14ac:dyDescent="0.2">
      <c r="A197" s="10">
        <f t="shared" si="14"/>
        <v>195</v>
      </c>
      <c r="B197" s="19">
        <v>45990</v>
      </c>
      <c r="C197" s="24" t="str">
        <f t="shared" si="15"/>
        <v>Saturday</v>
      </c>
      <c r="D197" s="6" t="s">
        <v>247</v>
      </c>
      <c r="E197" s="6"/>
      <c r="F197" s="6" t="s">
        <v>247</v>
      </c>
      <c r="G197" s="18">
        <v>-10000</v>
      </c>
      <c r="H197" s="6" t="s">
        <v>182</v>
      </c>
      <c r="I197" s="6"/>
      <c r="K197"/>
    </row>
    <row r="198" spans="1:11" ht="12.75" x14ac:dyDescent="0.2">
      <c r="A198" s="10">
        <f t="shared" si="14"/>
        <v>196</v>
      </c>
      <c r="B198" s="19">
        <v>45990</v>
      </c>
      <c r="C198" s="24" t="str">
        <f t="shared" si="15"/>
        <v>Saturday</v>
      </c>
      <c r="D198" s="6" t="s">
        <v>247</v>
      </c>
      <c r="E198" s="6"/>
      <c r="F198" s="6" t="s">
        <v>247</v>
      </c>
      <c r="G198" s="18">
        <v>10000</v>
      </c>
      <c r="H198" s="6" t="s">
        <v>110</v>
      </c>
      <c r="I198" s="6"/>
      <c r="K198"/>
    </row>
    <row r="199" spans="1:11" ht="12.75" x14ac:dyDescent="0.2">
      <c r="A199" s="10">
        <f t="shared" si="14"/>
        <v>197</v>
      </c>
      <c r="B199" s="19">
        <v>45992</v>
      </c>
      <c r="C199" s="24" t="str">
        <f t="shared" si="15"/>
        <v>Monday</v>
      </c>
      <c r="D199" s="6" t="s">
        <v>69</v>
      </c>
      <c r="E199" s="6" t="s">
        <v>370</v>
      </c>
      <c r="F199" s="6" t="s">
        <v>371</v>
      </c>
      <c r="G199" s="18">
        <v>20000</v>
      </c>
      <c r="H199" s="6" t="s">
        <v>110</v>
      </c>
      <c r="I199" s="6"/>
      <c r="K199"/>
    </row>
    <row r="200" spans="1:11" ht="12.75" x14ac:dyDescent="0.2">
      <c r="A200" s="10">
        <f t="shared" si="14"/>
        <v>198</v>
      </c>
      <c r="B200" s="19">
        <v>45992</v>
      </c>
      <c r="C200" s="24" t="str">
        <f t="shared" si="15"/>
        <v>Monday</v>
      </c>
      <c r="D200" s="6" t="s">
        <v>214</v>
      </c>
      <c r="E200" s="6" t="s">
        <v>231</v>
      </c>
      <c r="F200" s="6" t="s">
        <v>367</v>
      </c>
      <c r="G200" s="18">
        <v>90</v>
      </c>
      <c r="H200" s="6" t="s">
        <v>182</v>
      </c>
      <c r="I200" s="6"/>
      <c r="K200"/>
    </row>
    <row r="201" spans="1:11" ht="12.75" x14ac:dyDescent="0.2">
      <c r="A201" s="10">
        <f t="shared" si="14"/>
        <v>199</v>
      </c>
      <c r="B201" s="19">
        <v>45992</v>
      </c>
      <c r="C201" s="24" t="str">
        <f t="shared" si="15"/>
        <v>Monday</v>
      </c>
      <c r="D201" s="6" t="s">
        <v>214</v>
      </c>
      <c r="E201" s="6" t="s">
        <v>372</v>
      </c>
      <c r="F201" s="6" t="s">
        <v>373</v>
      </c>
      <c r="G201" s="18">
        <v>350</v>
      </c>
      <c r="H201" s="6" t="s">
        <v>182</v>
      </c>
      <c r="I201" s="6"/>
      <c r="K201"/>
    </row>
    <row r="202" spans="1:11" ht="12.75" x14ac:dyDescent="0.2">
      <c r="A202" s="10">
        <f t="shared" si="14"/>
        <v>200</v>
      </c>
      <c r="B202" s="19">
        <v>45993</v>
      </c>
      <c r="C202" s="24" t="str">
        <f t="shared" si="15"/>
        <v>Tuesday</v>
      </c>
      <c r="D202" s="6" t="s">
        <v>247</v>
      </c>
      <c r="E202" s="6"/>
      <c r="F202" s="6" t="s">
        <v>247</v>
      </c>
      <c r="G202" s="18">
        <v>-25000</v>
      </c>
      <c r="H202" s="6" t="s">
        <v>22</v>
      </c>
      <c r="I202" s="6"/>
      <c r="K202"/>
    </row>
    <row r="203" spans="1:11" ht="12.75" x14ac:dyDescent="0.2">
      <c r="A203" s="10">
        <f t="shared" si="14"/>
        <v>201</v>
      </c>
      <c r="B203" s="19">
        <v>45993</v>
      </c>
      <c r="C203" s="24" t="str">
        <f t="shared" si="15"/>
        <v>Tuesday</v>
      </c>
      <c r="D203" s="6" t="s">
        <v>247</v>
      </c>
      <c r="E203" s="6"/>
      <c r="F203" s="6" t="s">
        <v>247</v>
      </c>
      <c r="G203" s="18">
        <v>25000</v>
      </c>
      <c r="H203" s="6" t="s">
        <v>110</v>
      </c>
      <c r="I203" s="6"/>
      <c r="K203"/>
    </row>
    <row r="204" spans="1:11" ht="12.75" customHeight="1" x14ac:dyDescent="0.2">
      <c r="A204" s="10">
        <f t="shared" si="14"/>
        <v>202</v>
      </c>
      <c r="B204" s="19">
        <v>45993</v>
      </c>
      <c r="C204" s="24" t="str">
        <f t="shared" si="15"/>
        <v>Tuesday</v>
      </c>
      <c r="D204" s="6" t="s">
        <v>214</v>
      </c>
      <c r="E204" s="6" t="s">
        <v>231</v>
      </c>
      <c r="F204" s="6" t="s">
        <v>367</v>
      </c>
      <c r="G204" s="18">
        <v>125</v>
      </c>
      <c r="H204" s="6" t="s">
        <v>182</v>
      </c>
      <c r="I204" s="6"/>
      <c r="K204"/>
    </row>
    <row r="205" spans="1:11" ht="12.75" x14ac:dyDescent="0.2">
      <c r="A205" s="10">
        <f t="shared" si="14"/>
        <v>203</v>
      </c>
      <c r="B205" s="19">
        <v>45993</v>
      </c>
      <c r="C205" s="24" t="str">
        <f t="shared" si="15"/>
        <v>Tuesday</v>
      </c>
      <c r="D205" s="6" t="s">
        <v>247</v>
      </c>
      <c r="E205" s="6"/>
      <c r="F205" s="6" t="s">
        <v>247</v>
      </c>
      <c r="G205" s="18">
        <v>-10000</v>
      </c>
      <c r="H205" s="6" t="s">
        <v>216</v>
      </c>
      <c r="I205" s="6"/>
      <c r="K205"/>
    </row>
    <row r="206" spans="1:11" ht="12.75" x14ac:dyDescent="0.2">
      <c r="A206" s="10">
        <f t="shared" si="14"/>
        <v>204</v>
      </c>
      <c r="B206" s="19">
        <v>45993</v>
      </c>
      <c r="C206" s="24" t="str">
        <f t="shared" si="15"/>
        <v>Tuesday</v>
      </c>
      <c r="D206" s="6" t="s">
        <v>247</v>
      </c>
      <c r="E206" s="6"/>
      <c r="F206" s="6" t="s">
        <v>247</v>
      </c>
      <c r="G206" s="18">
        <v>10000</v>
      </c>
      <c r="H206" s="6" t="s">
        <v>110</v>
      </c>
      <c r="I206" s="6"/>
      <c r="K206"/>
    </row>
    <row r="207" spans="1:11" ht="12.75" x14ac:dyDescent="0.2">
      <c r="A207" s="10">
        <f t="shared" si="14"/>
        <v>205</v>
      </c>
      <c r="B207" s="19">
        <v>45993</v>
      </c>
      <c r="C207" s="24" t="str">
        <f t="shared" si="15"/>
        <v>Tuesday</v>
      </c>
      <c r="D207" s="6" t="s">
        <v>247</v>
      </c>
      <c r="E207" s="6"/>
      <c r="F207" s="6" t="s">
        <v>247</v>
      </c>
      <c r="G207" s="18">
        <v>-7000</v>
      </c>
      <c r="H207" s="6" t="s">
        <v>25</v>
      </c>
      <c r="I207" s="6"/>
      <c r="K207"/>
    </row>
    <row r="208" spans="1:11" ht="12.75" x14ac:dyDescent="0.2">
      <c r="A208" s="10">
        <f t="shared" si="14"/>
        <v>206</v>
      </c>
      <c r="B208" s="19">
        <v>45993</v>
      </c>
      <c r="C208" s="24" t="str">
        <f t="shared" si="15"/>
        <v>Tuesday</v>
      </c>
      <c r="D208" s="6" t="s">
        <v>247</v>
      </c>
      <c r="E208" s="6"/>
      <c r="F208" s="6" t="s">
        <v>247</v>
      </c>
      <c r="G208" s="18">
        <v>7000</v>
      </c>
      <c r="H208" s="6" t="s">
        <v>110</v>
      </c>
      <c r="I208" s="6"/>
      <c r="K208"/>
    </row>
    <row r="209" spans="1:11" ht="12.75" x14ac:dyDescent="0.2">
      <c r="A209" s="10">
        <f t="shared" si="14"/>
        <v>207</v>
      </c>
      <c r="B209" s="19">
        <v>45994</v>
      </c>
      <c r="C209" s="24" t="str">
        <f t="shared" si="15"/>
        <v>Wednesday</v>
      </c>
      <c r="D209" s="6" t="s">
        <v>251</v>
      </c>
      <c r="E209" s="6"/>
      <c r="F209" s="87" t="s">
        <v>374</v>
      </c>
      <c r="G209" s="18">
        <v>-736.31999999999971</v>
      </c>
      <c r="H209" s="6" t="s">
        <v>22</v>
      </c>
      <c r="I209" s="6"/>
      <c r="K209"/>
    </row>
    <row r="210" spans="1:11" ht="12.75" x14ac:dyDescent="0.2">
      <c r="A210" s="10">
        <f t="shared" si="14"/>
        <v>208</v>
      </c>
      <c r="B210" s="19">
        <v>45994</v>
      </c>
      <c r="C210" s="24" t="str">
        <f t="shared" si="15"/>
        <v>Wednesday</v>
      </c>
      <c r="D210" s="6" t="s">
        <v>251</v>
      </c>
      <c r="E210" s="6"/>
      <c r="F210" s="87" t="s">
        <v>375</v>
      </c>
      <c r="G210" s="18">
        <v>-920.40000000000146</v>
      </c>
      <c r="H210" s="6" t="s">
        <v>22</v>
      </c>
      <c r="I210" s="6"/>
      <c r="K210"/>
    </row>
    <row r="211" spans="1:11" ht="12.75" x14ac:dyDescent="0.2">
      <c r="A211" s="10">
        <f t="shared" si="14"/>
        <v>209</v>
      </c>
      <c r="B211" s="19">
        <v>45994</v>
      </c>
      <c r="C211" s="24" t="str">
        <f t="shared" si="15"/>
        <v>Wednesday</v>
      </c>
      <c r="D211" s="6" t="s">
        <v>255</v>
      </c>
      <c r="E211" s="6"/>
      <c r="F211" s="6" t="s">
        <v>376</v>
      </c>
      <c r="G211" s="18">
        <v>72075</v>
      </c>
      <c r="H211" s="6" t="s">
        <v>22</v>
      </c>
      <c r="I211" s="6"/>
      <c r="K211"/>
    </row>
    <row r="212" spans="1:11" ht="12.75" x14ac:dyDescent="0.2">
      <c r="A212" s="10">
        <f t="shared" si="14"/>
        <v>210</v>
      </c>
      <c r="B212" s="19">
        <v>45994</v>
      </c>
      <c r="C212" s="24" t="str">
        <f t="shared" si="15"/>
        <v>Wednesday</v>
      </c>
      <c r="D212" s="6" t="s">
        <v>255</v>
      </c>
      <c r="E212" s="6"/>
      <c r="F212" s="6" t="s">
        <v>377</v>
      </c>
      <c r="G212" s="18">
        <v>-72075</v>
      </c>
      <c r="H212" s="6" t="s">
        <v>185</v>
      </c>
      <c r="I212" s="6"/>
      <c r="K212"/>
    </row>
    <row r="213" spans="1:11" ht="12.75" x14ac:dyDescent="0.2">
      <c r="A213" s="10">
        <f t="shared" si="14"/>
        <v>211</v>
      </c>
      <c r="B213" s="19">
        <v>45994</v>
      </c>
      <c r="C213" s="24" t="str">
        <f t="shared" si="15"/>
        <v>Wednesday</v>
      </c>
      <c r="D213" s="6" t="s">
        <v>214</v>
      </c>
      <c r="E213" s="6" t="s">
        <v>231</v>
      </c>
      <c r="F213" s="6" t="s">
        <v>367</v>
      </c>
      <c r="G213" s="18">
        <v>95</v>
      </c>
      <c r="H213" s="6" t="s">
        <v>25</v>
      </c>
      <c r="I213" s="6"/>
      <c r="K213"/>
    </row>
    <row r="214" spans="1:11" ht="12.75" x14ac:dyDescent="0.2">
      <c r="A214" s="10">
        <f t="shared" si="14"/>
        <v>212</v>
      </c>
      <c r="B214" s="19">
        <v>45994</v>
      </c>
      <c r="C214" s="24" t="str">
        <f t="shared" si="15"/>
        <v>Wednesday</v>
      </c>
      <c r="D214" s="6" t="s">
        <v>230</v>
      </c>
      <c r="E214" s="6"/>
      <c r="F214" s="6" t="s">
        <v>324</v>
      </c>
      <c r="G214" s="18">
        <v>227</v>
      </c>
      <c r="H214" s="6" t="s">
        <v>22</v>
      </c>
      <c r="I214" s="6"/>
      <c r="K214"/>
    </row>
    <row r="215" spans="1:11" ht="12.75" x14ac:dyDescent="0.2">
      <c r="A215" s="10">
        <f t="shared" si="14"/>
        <v>213</v>
      </c>
      <c r="B215" s="19">
        <v>45995</v>
      </c>
      <c r="C215" s="24" t="str">
        <f t="shared" si="15"/>
        <v>Thursday</v>
      </c>
      <c r="D215" s="6" t="s">
        <v>214</v>
      </c>
      <c r="E215" s="6" t="s">
        <v>231</v>
      </c>
      <c r="F215" s="6" t="s">
        <v>367</v>
      </c>
      <c r="G215" s="18">
        <v>65</v>
      </c>
      <c r="H215" s="6" t="s">
        <v>182</v>
      </c>
      <c r="I215" s="6"/>
      <c r="K215"/>
    </row>
    <row r="216" spans="1:11" ht="12.75" x14ac:dyDescent="0.2">
      <c r="A216" s="10">
        <f t="shared" si="14"/>
        <v>214</v>
      </c>
      <c r="B216" s="19">
        <v>45995</v>
      </c>
      <c r="C216" s="24" t="str">
        <f t="shared" si="15"/>
        <v>Thursday</v>
      </c>
      <c r="D216" s="6" t="s">
        <v>214</v>
      </c>
      <c r="E216" s="6" t="s">
        <v>378</v>
      </c>
      <c r="F216" s="6" t="s">
        <v>293</v>
      </c>
      <c r="G216" s="18">
        <v>550</v>
      </c>
      <c r="H216" s="6" t="s">
        <v>182</v>
      </c>
      <c r="I216" s="6"/>
      <c r="K216"/>
    </row>
    <row r="217" spans="1:11" ht="12.75" x14ac:dyDescent="0.2">
      <c r="A217" s="10">
        <f t="shared" si="14"/>
        <v>215</v>
      </c>
      <c r="B217" s="19">
        <v>45995</v>
      </c>
      <c r="C217" s="24" t="str">
        <f t="shared" si="15"/>
        <v>Thursday</v>
      </c>
      <c r="D217" s="6" t="s">
        <v>214</v>
      </c>
      <c r="E217" s="6"/>
      <c r="F217" s="6" t="s">
        <v>379</v>
      </c>
      <c r="G217" s="18">
        <v>900</v>
      </c>
      <c r="H217" s="6" t="s">
        <v>22</v>
      </c>
      <c r="I217" s="6"/>
      <c r="K217"/>
    </row>
    <row r="218" spans="1:11" ht="12.75" x14ac:dyDescent="0.2">
      <c r="A218" s="10">
        <f t="shared" si="14"/>
        <v>216</v>
      </c>
      <c r="B218" s="19">
        <v>45995</v>
      </c>
      <c r="C218" s="24" t="str">
        <f t="shared" si="15"/>
        <v>Thursday</v>
      </c>
      <c r="D218" s="6" t="s">
        <v>214</v>
      </c>
      <c r="E218" s="6"/>
      <c r="F218" s="6" t="s">
        <v>380</v>
      </c>
      <c r="G218" s="18">
        <v>290</v>
      </c>
      <c r="H218" s="6" t="s">
        <v>182</v>
      </c>
      <c r="I218" s="6"/>
      <c r="K218"/>
    </row>
    <row r="219" spans="1:11" ht="12.75" x14ac:dyDescent="0.2">
      <c r="A219" s="10">
        <f t="shared" si="14"/>
        <v>217</v>
      </c>
      <c r="B219" s="19">
        <v>45995</v>
      </c>
      <c r="C219" s="24" t="str">
        <f t="shared" si="15"/>
        <v>Thursday</v>
      </c>
      <c r="D219" s="6" t="s">
        <v>214</v>
      </c>
      <c r="E219" s="6" t="s">
        <v>381</v>
      </c>
      <c r="F219" s="6" t="s">
        <v>382</v>
      </c>
      <c r="G219" s="18">
        <v>180</v>
      </c>
      <c r="H219" s="6" t="s">
        <v>25</v>
      </c>
      <c r="I219" s="6"/>
      <c r="K219"/>
    </row>
    <row r="220" spans="1:11" ht="12.75" x14ac:dyDescent="0.2">
      <c r="A220" s="10">
        <f t="shared" si="14"/>
        <v>218</v>
      </c>
      <c r="B220" s="19">
        <v>45996</v>
      </c>
      <c r="C220" s="24" t="str">
        <f t="shared" si="15"/>
        <v>Friday</v>
      </c>
      <c r="D220" s="6" t="s">
        <v>230</v>
      </c>
      <c r="E220" s="6"/>
      <c r="F220" s="6" t="s">
        <v>324</v>
      </c>
      <c r="G220" s="18">
        <v>262</v>
      </c>
      <c r="H220" s="6" t="s">
        <v>22</v>
      </c>
      <c r="I220" s="6"/>
      <c r="K220"/>
    </row>
    <row r="221" spans="1:11" ht="12.75" x14ac:dyDescent="0.2">
      <c r="A221" s="10">
        <f t="shared" si="14"/>
        <v>219</v>
      </c>
      <c r="B221" s="19">
        <v>45997</v>
      </c>
      <c r="C221" s="24" t="str">
        <f t="shared" si="15"/>
        <v>Saturday</v>
      </c>
      <c r="D221" s="6" t="s">
        <v>230</v>
      </c>
      <c r="E221" s="6"/>
      <c r="F221" s="6" t="s">
        <v>307</v>
      </c>
      <c r="G221" s="18">
        <v>800</v>
      </c>
      <c r="H221" s="6" t="s">
        <v>22</v>
      </c>
      <c r="I221" s="6"/>
      <c r="K221"/>
    </row>
    <row r="222" spans="1:11" ht="12.75" x14ac:dyDescent="0.2">
      <c r="A222" s="10">
        <f t="shared" si="14"/>
        <v>220</v>
      </c>
      <c r="B222" s="19">
        <v>45997</v>
      </c>
      <c r="C222" s="24" t="str">
        <f t="shared" si="15"/>
        <v>Saturday</v>
      </c>
      <c r="D222" s="6" t="s">
        <v>218</v>
      </c>
      <c r="E222" s="6"/>
      <c r="F222" s="6" t="s">
        <v>383</v>
      </c>
      <c r="G222" s="18">
        <v>500</v>
      </c>
      <c r="H222" s="6" t="s">
        <v>216</v>
      </c>
      <c r="I222" s="6"/>
      <c r="K222"/>
    </row>
    <row r="223" spans="1:11" ht="12.75" x14ac:dyDescent="0.2">
      <c r="A223" s="10">
        <f t="shared" si="14"/>
        <v>221</v>
      </c>
      <c r="B223" s="19">
        <v>45997</v>
      </c>
      <c r="C223" s="24" t="str">
        <f t="shared" si="15"/>
        <v>Saturday</v>
      </c>
      <c r="D223" s="6" t="s">
        <v>247</v>
      </c>
      <c r="E223" s="6"/>
      <c r="F223" s="6" t="s">
        <v>271</v>
      </c>
      <c r="G223" s="18">
        <v>-80000</v>
      </c>
      <c r="H223" s="6" t="s">
        <v>25</v>
      </c>
      <c r="I223" s="6"/>
      <c r="K223"/>
    </row>
    <row r="224" spans="1:11" ht="12.75" x14ac:dyDescent="0.2">
      <c r="A224" s="10">
        <f t="shared" si="14"/>
        <v>222</v>
      </c>
      <c r="B224" s="19">
        <v>45997</v>
      </c>
      <c r="C224" s="24" t="str">
        <f t="shared" si="15"/>
        <v>Saturday</v>
      </c>
      <c r="D224" s="6" t="s">
        <v>247</v>
      </c>
      <c r="E224" s="6"/>
      <c r="F224" s="6" t="s">
        <v>271</v>
      </c>
      <c r="G224" s="18">
        <v>80000</v>
      </c>
      <c r="H224" s="6" t="s">
        <v>110</v>
      </c>
      <c r="I224" s="6"/>
      <c r="K224"/>
    </row>
    <row r="225" spans="1:11" ht="12.75" x14ac:dyDescent="0.2">
      <c r="A225" s="10">
        <f t="shared" si="14"/>
        <v>223</v>
      </c>
      <c r="B225" s="19">
        <v>45999</v>
      </c>
      <c r="C225" s="24" t="str">
        <f t="shared" si="15"/>
        <v>Monday</v>
      </c>
      <c r="D225" s="6" t="s">
        <v>214</v>
      </c>
      <c r="E225" s="6"/>
      <c r="F225" s="6" t="s">
        <v>384</v>
      </c>
      <c r="G225" s="18">
        <v>1003</v>
      </c>
      <c r="H225" s="6" t="s">
        <v>22</v>
      </c>
      <c r="I225" s="6"/>
      <c r="K225"/>
    </row>
    <row r="226" spans="1:11" ht="12.6" customHeight="1" x14ac:dyDescent="0.25">
      <c r="A226" s="10">
        <f t="shared" si="14"/>
        <v>224</v>
      </c>
      <c r="B226" s="90">
        <v>46000</v>
      </c>
      <c r="C226" s="24" t="str">
        <f t="shared" si="15"/>
        <v>Tuesday</v>
      </c>
      <c r="D226" s="6" t="s">
        <v>214</v>
      </c>
      <c r="E226" s="6" t="s">
        <v>385</v>
      </c>
      <c r="F226" s="6" t="s">
        <v>386</v>
      </c>
      <c r="G226" s="18">
        <v>100</v>
      </c>
      <c r="H226" s="6" t="s">
        <v>182</v>
      </c>
      <c r="I226" s="6"/>
      <c r="K226"/>
    </row>
    <row r="227" spans="1:11" ht="12.75" x14ac:dyDescent="0.2">
      <c r="A227" s="10">
        <f t="shared" si="14"/>
        <v>225</v>
      </c>
      <c r="B227" s="19">
        <v>46000</v>
      </c>
      <c r="C227" s="24" t="str">
        <f t="shared" si="15"/>
        <v>Tuesday</v>
      </c>
      <c r="D227" s="6" t="s">
        <v>230</v>
      </c>
      <c r="E227" s="6"/>
      <c r="F227" s="6" t="s">
        <v>324</v>
      </c>
      <c r="G227" s="18">
        <v>266</v>
      </c>
      <c r="H227" s="6" t="s">
        <v>22</v>
      </c>
      <c r="I227" s="6"/>
      <c r="K227"/>
    </row>
    <row r="228" spans="1:11" ht="12.75" x14ac:dyDescent="0.2">
      <c r="A228" s="10">
        <f t="shared" si="14"/>
        <v>226</v>
      </c>
      <c r="B228" s="19">
        <v>46000</v>
      </c>
      <c r="C228" s="24" t="str">
        <f t="shared" si="15"/>
        <v>Tuesday</v>
      </c>
      <c r="D228" s="6" t="s">
        <v>19</v>
      </c>
      <c r="E228" s="6"/>
      <c r="F228" t="s">
        <v>387</v>
      </c>
      <c r="G228" s="18">
        <v>21000</v>
      </c>
      <c r="H228" s="6" t="s">
        <v>110</v>
      </c>
      <c r="I228" s="6"/>
      <c r="K228"/>
    </row>
    <row r="229" spans="1:11" ht="12.75" x14ac:dyDescent="0.2">
      <c r="A229" s="10">
        <f t="shared" si="14"/>
        <v>227</v>
      </c>
      <c r="B229" s="19">
        <v>46000</v>
      </c>
      <c r="C229" s="24" t="str">
        <f t="shared" si="15"/>
        <v>Tuesday</v>
      </c>
      <c r="D229" s="6" t="s">
        <v>255</v>
      </c>
      <c r="E229" s="6"/>
      <c r="F229" s="6" t="s">
        <v>388</v>
      </c>
      <c r="G229" s="18">
        <v>50000</v>
      </c>
      <c r="H229" s="6" t="s">
        <v>25</v>
      </c>
      <c r="I229" s="6"/>
      <c r="K229"/>
    </row>
    <row r="230" spans="1:11" ht="12.75" x14ac:dyDescent="0.2">
      <c r="A230" s="10">
        <f t="shared" si="14"/>
        <v>228</v>
      </c>
      <c r="B230" s="19">
        <v>46000</v>
      </c>
      <c r="C230" s="24" t="str">
        <f t="shared" si="15"/>
        <v>Tuesday</v>
      </c>
      <c r="D230" s="6" t="s">
        <v>255</v>
      </c>
      <c r="E230" s="6"/>
      <c r="F230" s="6" t="s">
        <v>274</v>
      </c>
      <c r="G230" s="18">
        <v>-50000</v>
      </c>
      <c r="H230" s="6" t="s">
        <v>185</v>
      </c>
      <c r="I230" s="6"/>
      <c r="K230"/>
    </row>
    <row r="231" spans="1:11" ht="12.75" x14ac:dyDescent="0.2">
      <c r="A231" s="10">
        <f t="shared" si="14"/>
        <v>229</v>
      </c>
      <c r="B231" s="19">
        <v>46001</v>
      </c>
      <c r="C231" s="24" t="str">
        <f t="shared" si="15"/>
        <v>Wednesday</v>
      </c>
      <c r="D231" s="6" t="s">
        <v>69</v>
      </c>
      <c r="E231" s="6" t="s">
        <v>370</v>
      </c>
      <c r="F231" s="6" t="s">
        <v>371</v>
      </c>
      <c r="G231" s="18">
        <v>10000</v>
      </c>
      <c r="H231" s="6" t="s">
        <v>110</v>
      </c>
      <c r="I231" s="6"/>
      <c r="K231"/>
    </row>
    <row r="232" spans="1:11" ht="12.75" x14ac:dyDescent="0.2">
      <c r="A232" s="10">
        <f t="shared" si="14"/>
        <v>230</v>
      </c>
      <c r="B232" s="19">
        <v>46001</v>
      </c>
      <c r="C232" s="24" t="str">
        <f t="shared" si="15"/>
        <v>Wednesday</v>
      </c>
      <c r="D232" s="6" t="s">
        <v>19</v>
      </c>
      <c r="E232" s="6"/>
      <c r="F232" t="s">
        <v>389</v>
      </c>
      <c r="G232" s="23">
        <v>45000</v>
      </c>
      <c r="H232" s="6" t="s">
        <v>185</v>
      </c>
      <c r="I232" s="6"/>
      <c r="K232"/>
    </row>
    <row r="233" spans="1:11" ht="12.75" x14ac:dyDescent="0.2">
      <c r="A233" s="10">
        <f t="shared" si="14"/>
        <v>231</v>
      </c>
      <c r="B233" s="19">
        <v>46001</v>
      </c>
      <c r="C233" s="24" t="str">
        <f t="shared" si="15"/>
        <v>Wednesday</v>
      </c>
      <c r="D233" s="6" t="s">
        <v>19</v>
      </c>
      <c r="E233" s="6"/>
      <c r="F233" t="s">
        <v>390</v>
      </c>
      <c r="G233" s="23">
        <v>25000</v>
      </c>
      <c r="H233" s="6" t="s">
        <v>185</v>
      </c>
      <c r="I233" s="6"/>
      <c r="K233"/>
    </row>
    <row r="234" spans="1:11" ht="12.75" x14ac:dyDescent="0.2">
      <c r="A234" s="10">
        <f t="shared" si="14"/>
        <v>232</v>
      </c>
      <c r="B234" s="19">
        <v>46001</v>
      </c>
      <c r="C234" s="24" t="str">
        <f t="shared" si="15"/>
        <v>Wednesday</v>
      </c>
      <c r="D234" s="6" t="s">
        <v>19</v>
      </c>
      <c r="E234" s="6"/>
      <c r="F234" t="s">
        <v>391</v>
      </c>
      <c r="G234" s="18">
        <v>51000</v>
      </c>
      <c r="H234" s="6" t="s">
        <v>185</v>
      </c>
      <c r="I234" s="6"/>
      <c r="K234"/>
    </row>
    <row r="235" spans="1:11" ht="12.75" x14ac:dyDescent="0.2">
      <c r="A235" s="10">
        <f t="shared" si="14"/>
        <v>233</v>
      </c>
      <c r="B235" s="19">
        <v>46001</v>
      </c>
      <c r="C235" s="24" t="str">
        <f t="shared" si="15"/>
        <v>Wednesday</v>
      </c>
      <c r="D235" s="6" t="s">
        <v>214</v>
      </c>
      <c r="E235" s="6"/>
      <c r="F235" s="6" t="s">
        <v>392</v>
      </c>
      <c r="G235" s="18">
        <v>150</v>
      </c>
      <c r="H235" s="6" t="s">
        <v>216</v>
      </c>
      <c r="I235" s="6"/>
      <c r="K235"/>
    </row>
    <row r="236" spans="1:11" ht="12.75" x14ac:dyDescent="0.2">
      <c r="A236" s="10">
        <f t="shared" si="14"/>
        <v>234</v>
      </c>
      <c r="B236" s="19">
        <v>46001</v>
      </c>
      <c r="C236" s="24" t="str">
        <f t="shared" si="15"/>
        <v>Wednesday</v>
      </c>
      <c r="D236" s="6" t="s">
        <v>255</v>
      </c>
      <c r="E236" s="6"/>
      <c r="F236" s="6" t="s">
        <v>388</v>
      </c>
      <c r="G236" s="18">
        <v>26000</v>
      </c>
      <c r="H236" s="6" t="s">
        <v>25</v>
      </c>
      <c r="I236" s="6"/>
      <c r="K236"/>
    </row>
    <row r="237" spans="1:11" ht="12.75" x14ac:dyDescent="0.2">
      <c r="A237" s="10">
        <f t="shared" si="14"/>
        <v>235</v>
      </c>
      <c r="B237" s="19">
        <v>46001</v>
      </c>
      <c r="C237" s="24" t="str">
        <f t="shared" si="15"/>
        <v>Wednesday</v>
      </c>
      <c r="D237" s="6" t="s">
        <v>255</v>
      </c>
      <c r="E237" s="6"/>
      <c r="F237" s="6" t="s">
        <v>274</v>
      </c>
      <c r="G237" s="18">
        <v>-26000</v>
      </c>
      <c r="H237" s="6" t="s">
        <v>110</v>
      </c>
      <c r="I237" s="6"/>
      <c r="K237"/>
    </row>
    <row r="238" spans="1:11" ht="12.75" x14ac:dyDescent="0.2">
      <c r="A238" s="10">
        <f t="shared" si="14"/>
        <v>236</v>
      </c>
      <c r="B238" s="19">
        <v>46001</v>
      </c>
      <c r="C238" s="24" t="str">
        <f t="shared" si="15"/>
        <v>Wednesday</v>
      </c>
      <c r="D238" s="6" t="s">
        <v>19</v>
      </c>
      <c r="E238" s="6"/>
      <c r="F238" t="s">
        <v>393</v>
      </c>
      <c r="G238" s="23">
        <v>20000</v>
      </c>
      <c r="H238" s="6" t="s">
        <v>110</v>
      </c>
      <c r="I238" s="6"/>
      <c r="K238"/>
    </row>
    <row r="239" spans="1:11" ht="12.6" customHeight="1" x14ac:dyDescent="0.2">
      <c r="A239" s="10">
        <f t="shared" si="14"/>
        <v>237</v>
      </c>
      <c r="B239" s="19">
        <v>46001</v>
      </c>
      <c r="C239" s="24" t="str">
        <f t="shared" si="15"/>
        <v>Wednesday</v>
      </c>
      <c r="D239" s="6" t="s">
        <v>19</v>
      </c>
      <c r="E239" s="6"/>
      <c r="F239" t="s">
        <v>394</v>
      </c>
      <c r="G239" s="23">
        <v>36000</v>
      </c>
      <c r="H239" s="6" t="s">
        <v>110</v>
      </c>
      <c r="I239" s="6"/>
      <c r="K239"/>
    </row>
    <row r="240" spans="1:11" ht="12.75" x14ac:dyDescent="0.2">
      <c r="A240" s="10">
        <f t="shared" si="14"/>
        <v>238</v>
      </c>
      <c r="B240" s="19">
        <v>46001</v>
      </c>
      <c r="C240" s="24" t="str">
        <f t="shared" si="15"/>
        <v>Wednesday</v>
      </c>
      <c r="D240" s="6" t="s">
        <v>19</v>
      </c>
      <c r="E240" s="6"/>
      <c r="F240" t="s">
        <v>395</v>
      </c>
      <c r="G240" s="18">
        <v>6000</v>
      </c>
      <c r="H240" s="6" t="s">
        <v>110</v>
      </c>
      <c r="I240" s="6"/>
      <c r="K240"/>
    </row>
    <row r="241" spans="1:11" ht="12.75" x14ac:dyDescent="0.2">
      <c r="A241" s="10">
        <f t="shared" si="14"/>
        <v>239</v>
      </c>
      <c r="B241" s="19">
        <v>46001</v>
      </c>
      <c r="C241" s="24" t="str">
        <f t="shared" si="15"/>
        <v>Wednesday</v>
      </c>
      <c r="D241" s="6" t="s">
        <v>19</v>
      </c>
      <c r="E241" s="6"/>
      <c r="F241" s="6" t="s">
        <v>394</v>
      </c>
      <c r="G241" s="72">
        <v>4000</v>
      </c>
      <c r="H241" s="6" t="s">
        <v>25</v>
      </c>
      <c r="I241" s="6"/>
      <c r="K241"/>
    </row>
    <row r="242" spans="1:11" ht="14.65" customHeight="1" x14ac:dyDescent="0.2">
      <c r="A242" s="10">
        <f t="shared" si="14"/>
        <v>240</v>
      </c>
      <c r="B242" s="19">
        <v>46002</v>
      </c>
      <c r="C242" s="24" t="str">
        <f t="shared" si="15"/>
        <v>Thursday</v>
      </c>
      <c r="D242" s="6" t="s">
        <v>19</v>
      </c>
      <c r="E242" s="6"/>
      <c r="F242" t="s">
        <v>396</v>
      </c>
      <c r="G242" s="18">
        <v>14333.333333333336</v>
      </c>
      <c r="H242" s="6" t="s">
        <v>110</v>
      </c>
      <c r="I242" s="6"/>
      <c r="K242"/>
    </row>
    <row r="243" spans="1:11" ht="12.75" x14ac:dyDescent="0.2">
      <c r="A243" s="10">
        <f t="shared" si="14"/>
        <v>241</v>
      </c>
      <c r="B243" s="19">
        <v>46002</v>
      </c>
      <c r="C243" s="24" t="str">
        <f t="shared" si="15"/>
        <v>Thursday</v>
      </c>
      <c r="D243" s="6" t="s">
        <v>19</v>
      </c>
      <c r="E243" s="6"/>
      <c r="F243" t="s">
        <v>397</v>
      </c>
      <c r="G243" s="18">
        <v>11333.333333333334</v>
      </c>
      <c r="H243" s="6" t="s">
        <v>110</v>
      </c>
      <c r="I243" s="6"/>
      <c r="K243"/>
    </row>
    <row r="244" spans="1:11" ht="12.75" x14ac:dyDescent="0.2">
      <c r="A244" s="10">
        <f t="shared" si="14"/>
        <v>242</v>
      </c>
      <c r="B244" s="19">
        <v>46002</v>
      </c>
      <c r="C244" s="24" t="str">
        <f t="shared" si="15"/>
        <v>Thursday</v>
      </c>
      <c r="D244" s="6" t="s">
        <v>230</v>
      </c>
      <c r="E244" s="6"/>
      <c r="F244" s="6" t="s">
        <v>398</v>
      </c>
      <c r="G244" s="72">
        <v>527</v>
      </c>
      <c r="H244" s="6" t="s">
        <v>216</v>
      </c>
      <c r="I244" s="6"/>
      <c r="K244"/>
    </row>
    <row r="245" spans="1:11" ht="12.75" x14ac:dyDescent="0.2">
      <c r="A245" s="10">
        <f t="shared" si="14"/>
        <v>243</v>
      </c>
      <c r="B245" s="19">
        <v>46003</v>
      </c>
      <c r="C245" s="24" t="str">
        <f t="shared" si="15"/>
        <v>Friday</v>
      </c>
      <c r="D245" s="6" t="s">
        <v>230</v>
      </c>
      <c r="E245" s="6"/>
      <c r="F245" s="6" t="s">
        <v>324</v>
      </c>
      <c r="G245" s="18">
        <v>357</v>
      </c>
      <c r="H245" s="6" t="s">
        <v>22</v>
      </c>
      <c r="I245" s="6"/>
      <c r="K245"/>
    </row>
    <row r="246" spans="1:11" ht="12.75" x14ac:dyDescent="0.2">
      <c r="A246" s="10">
        <f t="shared" si="14"/>
        <v>244</v>
      </c>
      <c r="B246" s="19">
        <v>46003</v>
      </c>
      <c r="C246" s="24" t="str">
        <f t="shared" si="15"/>
        <v>Friday</v>
      </c>
      <c r="D246" s="6" t="s">
        <v>247</v>
      </c>
      <c r="E246" s="6"/>
      <c r="F246" s="6" t="s">
        <v>399</v>
      </c>
      <c r="G246" s="18">
        <v>-15000</v>
      </c>
      <c r="H246" s="6" t="s">
        <v>25</v>
      </c>
      <c r="I246" s="6"/>
      <c r="K246"/>
    </row>
    <row r="247" spans="1:11" ht="12.75" x14ac:dyDescent="0.2">
      <c r="A247" s="10">
        <f t="shared" si="14"/>
        <v>245</v>
      </c>
      <c r="B247" s="19">
        <v>46003</v>
      </c>
      <c r="C247" s="24" t="str">
        <f t="shared" si="15"/>
        <v>Friday</v>
      </c>
      <c r="D247" s="6" t="s">
        <v>247</v>
      </c>
      <c r="E247" s="6"/>
      <c r="F247" s="6" t="s">
        <v>399</v>
      </c>
      <c r="G247" s="18">
        <v>15000</v>
      </c>
      <c r="H247" s="6" t="s">
        <v>110</v>
      </c>
      <c r="I247" s="6"/>
      <c r="K247"/>
    </row>
    <row r="248" spans="1:11" ht="12.75" x14ac:dyDescent="0.2">
      <c r="A248" s="10">
        <f t="shared" ref="A248:A311" si="16">A247+1</f>
        <v>246</v>
      </c>
      <c r="B248" s="19">
        <v>46003</v>
      </c>
      <c r="C248" s="24" t="str">
        <f t="shared" ref="C248:C311" si="17">TEXT(B248,"dddd")</f>
        <v>Friday</v>
      </c>
      <c r="D248" s="6" t="s">
        <v>214</v>
      </c>
      <c r="E248" s="6"/>
      <c r="F248" s="6" t="s">
        <v>400</v>
      </c>
      <c r="G248" s="18">
        <v>2895</v>
      </c>
      <c r="H248" s="6" t="s">
        <v>110</v>
      </c>
      <c r="I248" s="6"/>
      <c r="K248"/>
    </row>
    <row r="249" spans="1:11" ht="12.75" x14ac:dyDescent="0.2">
      <c r="A249" s="10">
        <f t="shared" si="16"/>
        <v>247</v>
      </c>
      <c r="B249" s="19">
        <v>46003</v>
      </c>
      <c r="C249" s="24" t="str">
        <f t="shared" si="17"/>
        <v>Friday</v>
      </c>
      <c r="D249" s="6" t="s">
        <v>251</v>
      </c>
      <c r="E249" s="6"/>
      <c r="F249" s="6" t="s">
        <v>401</v>
      </c>
      <c r="G249" s="18">
        <v>5.04</v>
      </c>
      <c r="H249" s="6" t="s">
        <v>110</v>
      </c>
      <c r="I249" s="6"/>
      <c r="K249"/>
    </row>
    <row r="250" spans="1:11" ht="12.75" x14ac:dyDescent="0.2">
      <c r="A250" s="10">
        <f t="shared" si="16"/>
        <v>248</v>
      </c>
      <c r="B250" s="19">
        <v>46004</v>
      </c>
      <c r="C250" s="24" t="str">
        <f t="shared" si="17"/>
        <v>Saturday</v>
      </c>
      <c r="D250" s="6" t="s">
        <v>235</v>
      </c>
      <c r="E250" s="6"/>
      <c r="F250" s="6" t="s">
        <v>402</v>
      </c>
      <c r="G250" s="18">
        <v>120</v>
      </c>
      <c r="H250" s="6" t="s">
        <v>182</v>
      </c>
      <c r="I250" s="6"/>
      <c r="K250"/>
    </row>
    <row r="251" spans="1:11" ht="12.75" x14ac:dyDescent="0.2">
      <c r="A251" s="10">
        <f t="shared" si="16"/>
        <v>249</v>
      </c>
      <c r="B251" s="19">
        <v>46004</v>
      </c>
      <c r="C251" s="24" t="str">
        <f t="shared" si="17"/>
        <v>Saturday</v>
      </c>
      <c r="D251" s="6" t="s">
        <v>235</v>
      </c>
      <c r="E251" s="6"/>
      <c r="F251" s="6" t="s">
        <v>403</v>
      </c>
      <c r="G251" s="18">
        <v>350</v>
      </c>
      <c r="H251" s="6" t="s">
        <v>216</v>
      </c>
      <c r="I251" s="6"/>
      <c r="K251"/>
    </row>
    <row r="252" spans="1:11" ht="12.75" x14ac:dyDescent="0.2">
      <c r="A252" s="10">
        <f t="shared" si="16"/>
        <v>250</v>
      </c>
      <c r="B252" s="19">
        <v>46004</v>
      </c>
      <c r="C252" s="24" t="str">
        <f t="shared" si="17"/>
        <v>Saturday</v>
      </c>
      <c r="D252" s="6" t="s">
        <v>235</v>
      </c>
      <c r="E252" s="6"/>
      <c r="F252" s="6" t="s">
        <v>404</v>
      </c>
      <c r="G252" s="18">
        <v>170</v>
      </c>
      <c r="H252" s="6" t="s">
        <v>216</v>
      </c>
      <c r="I252" s="6"/>
      <c r="K252"/>
    </row>
    <row r="253" spans="1:11" ht="12.75" x14ac:dyDescent="0.2">
      <c r="A253" s="10">
        <f t="shared" si="16"/>
        <v>251</v>
      </c>
      <c r="B253" s="19">
        <v>46004</v>
      </c>
      <c r="C253" s="24" t="str">
        <f t="shared" si="17"/>
        <v>Saturday</v>
      </c>
      <c r="D253" s="6" t="s">
        <v>235</v>
      </c>
      <c r="E253" s="6"/>
      <c r="F253" s="6" t="s">
        <v>405</v>
      </c>
      <c r="G253" s="18">
        <v>210</v>
      </c>
      <c r="H253" s="6" t="s">
        <v>216</v>
      </c>
      <c r="I253" s="6"/>
      <c r="K253"/>
    </row>
    <row r="254" spans="1:11" ht="12.75" x14ac:dyDescent="0.2">
      <c r="A254" s="10">
        <f t="shared" si="16"/>
        <v>252</v>
      </c>
      <c r="B254" s="19">
        <v>46004</v>
      </c>
      <c r="C254" s="24" t="str">
        <f t="shared" si="17"/>
        <v>Saturday</v>
      </c>
      <c r="D254" s="6" t="s">
        <v>235</v>
      </c>
      <c r="E254" s="6"/>
      <c r="F254" s="6" t="s">
        <v>406</v>
      </c>
      <c r="G254" s="18">
        <v>1084</v>
      </c>
      <c r="H254" s="6" t="s">
        <v>22</v>
      </c>
      <c r="I254" s="6"/>
      <c r="K254"/>
    </row>
    <row r="255" spans="1:11" ht="12.75" x14ac:dyDescent="0.2">
      <c r="A255" s="10">
        <f t="shared" si="16"/>
        <v>253</v>
      </c>
      <c r="B255" s="19">
        <v>46004</v>
      </c>
      <c r="C255" s="24" t="str">
        <f t="shared" si="17"/>
        <v>Saturday</v>
      </c>
      <c r="D255" s="6" t="s">
        <v>235</v>
      </c>
      <c r="E255" s="6"/>
      <c r="F255" s="6" t="s">
        <v>407</v>
      </c>
      <c r="G255" s="18">
        <v>1240</v>
      </c>
      <c r="H255" s="6" t="s">
        <v>22</v>
      </c>
      <c r="I255" s="6"/>
      <c r="K255"/>
    </row>
    <row r="256" spans="1:11" ht="12.75" x14ac:dyDescent="0.2">
      <c r="A256" s="10">
        <f t="shared" si="16"/>
        <v>254</v>
      </c>
      <c r="B256" s="19">
        <v>46006</v>
      </c>
      <c r="C256" s="24" t="str">
        <f t="shared" si="17"/>
        <v>Monday</v>
      </c>
      <c r="D256" s="6" t="s">
        <v>19</v>
      </c>
      <c r="E256" s="6"/>
      <c r="F256" t="s">
        <v>408</v>
      </c>
      <c r="G256" s="23">
        <v>5334</v>
      </c>
      <c r="H256" s="6" t="s">
        <v>110</v>
      </c>
      <c r="I256" s="6"/>
      <c r="K256"/>
    </row>
    <row r="257" spans="1:11" ht="12.75" x14ac:dyDescent="0.2">
      <c r="A257" s="10">
        <f t="shared" si="16"/>
        <v>255</v>
      </c>
      <c r="B257" s="19">
        <v>46007</v>
      </c>
      <c r="C257" s="24" t="str">
        <f t="shared" si="17"/>
        <v>Tuesday</v>
      </c>
      <c r="D257" s="6" t="s">
        <v>69</v>
      </c>
      <c r="E257" s="6" t="s">
        <v>370</v>
      </c>
      <c r="F257" s="6" t="s">
        <v>371</v>
      </c>
      <c r="G257" s="72">
        <v>20000</v>
      </c>
      <c r="H257" s="6" t="s">
        <v>110</v>
      </c>
      <c r="I257" s="6"/>
      <c r="K257"/>
    </row>
    <row r="258" spans="1:11" ht="12.75" x14ac:dyDescent="0.2">
      <c r="A258" s="10">
        <f t="shared" si="16"/>
        <v>256</v>
      </c>
      <c r="B258" s="19">
        <v>46007</v>
      </c>
      <c r="C258" s="24" t="str">
        <f t="shared" si="17"/>
        <v>Tuesday</v>
      </c>
      <c r="D258" s="6" t="s">
        <v>214</v>
      </c>
      <c r="E258" s="6"/>
      <c r="F258" s="6" t="s">
        <v>305</v>
      </c>
      <c r="G258" s="72">
        <v>5303</v>
      </c>
      <c r="H258" s="6" t="s">
        <v>110</v>
      </c>
      <c r="I258" s="6"/>
      <c r="K258"/>
    </row>
    <row r="259" spans="1:11" ht="12.75" x14ac:dyDescent="0.2">
      <c r="A259" s="10">
        <f t="shared" si="16"/>
        <v>257</v>
      </c>
      <c r="B259" s="19">
        <v>46007</v>
      </c>
      <c r="C259" s="24" t="str">
        <f t="shared" si="17"/>
        <v>Tuesday</v>
      </c>
      <c r="D259" s="6" t="s">
        <v>214</v>
      </c>
      <c r="E259" s="6"/>
      <c r="F259" s="6" t="s">
        <v>409</v>
      </c>
      <c r="G259" s="72">
        <v>1826.64</v>
      </c>
      <c r="H259" s="6" t="s">
        <v>110</v>
      </c>
      <c r="I259" s="6"/>
      <c r="K259"/>
    </row>
    <row r="260" spans="1:11" ht="12.75" x14ac:dyDescent="0.2">
      <c r="A260" s="10">
        <f t="shared" si="16"/>
        <v>258</v>
      </c>
      <c r="B260" s="19">
        <v>46007</v>
      </c>
      <c r="C260" s="24" t="str">
        <f t="shared" si="17"/>
        <v>Tuesday</v>
      </c>
      <c r="D260" s="6" t="s">
        <v>214</v>
      </c>
      <c r="E260" s="6"/>
      <c r="F260" s="6" t="s">
        <v>305</v>
      </c>
      <c r="G260" s="18">
        <v>175</v>
      </c>
      <c r="H260" s="6" t="s">
        <v>110</v>
      </c>
      <c r="I260" s="6"/>
      <c r="K260"/>
    </row>
    <row r="261" spans="1:11" ht="12.75" x14ac:dyDescent="0.2">
      <c r="A261" s="10">
        <f t="shared" si="16"/>
        <v>259</v>
      </c>
      <c r="B261" s="19">
        <v>46007</v>
      </c>
      <c r="C261" s="24" t="str">
        <f t="shared" si="17"/>
        <v>Tuesday</v>
      </c>
      <c r="D261" s="6" t="s">
        <v>214</v>
      </c>
      <c r="E261" s="6"/>
      <c r="F261" s="6" t="s">
        <v>305</v>
      </c>
      <c r="G261" s="18">
        <v>175</v>
      </c>
      <c r="H261" s="6" t="s">
        <v>110</v>
      </c>
      <c r="I261" s="6"/>
      <c r="K261"/>
    </row>
    <row r="262" spans="1:11" ht="12.75" x14ac:dyDescent="0.2">
      <c r="A262" s="10">
        <f t="shared" si="16"/>
        <v>260</v>
      </c>
      <c r="B262" s="19">
        <v>46007</v>
      </c>
      <c r="C262" s="24" t="str">
        <f t="shared" si="17"/>
        <v>Tuesday</v>
      </c>
      <c r="D262" s="6" t="s">
        <v>214</v>
      </c>
      <c r="E262" s="6"/>
      <c r="F262" s="6" t="s">
        <v>410</v>
      </c>
      <c r="G262" s="72">
        <v>32000</v>
      </c>
      <c r="H262" s="6" t="s">
        <v>110</v>
      </c>
      <c r="I262" s="6"/>
      <c r="K262"/>
    </row>
    <row r="263" spans="1:11" ht="12.75" x14ac:dyDescent="0.2">
      <c r="A263" s="10">
        <f t="shared" si="16"/>
        <v>261</v>
      </c>
      <c r="B263" s="19">
        <v>46007</v>
      </c>
      <c r="C263" s="24" t="str">
        <f t="shared" si="17"/>
        <v>Tuesday</v>
      </c>
      <c r="D263" s="6"/>
      <c r="E263" s="6"/>
      <c r="F263" s="6"/>
      <c r="G263" s="18">
        <v>300</v>
      </c>
      <c r="H263" s="6" t="s">
        <v>25</v>
      </c>
      <c r="I263" s="6"/>
      <c r="K263"/>
    </row>
    <row r="264" spans="1:11" ht="12.75" x14ac:dyDescent="0.2">
      <c r="A264" s="10">
        <f t="shared" si="16"/>
        <v>262</v>
      </c>
      <c r="B264" s="19">
        <v>46008</v>
      </c>
      <c r="C264" s="24" t="str">
        <f t="shared" si="17"/>
        <v>Wednesday</v>
      </c>
      <c r="D264" s="6" t="s">
        <v>247</v>
      </c>
      <c r="E264" s="6"/>
      <c r="F264" s="6" t="s">
        <v>290</v>
      </c>
      <c r="G264" s="18">
        <v>-3000</v>
      </c>
      <c r="H264" s="6" t="s">
        <v>182</v>
      </c>
      <c r="I264" s="6"/>
      <c r="K264"/>
    </row>
    <row r="265" spans="1:11" ht="12.75" x14ac:dyDescent="0.2">
      <c r="A265" s="10">
        <f t="shared" si="16"/>
        <v>263</v>
      </c>
      <c r="B265" s="19">
        <v>46008</v>
      </c>
      <c r="C265" s="24" t="str">
        <f t="shared" si="17"/>
        <v>Wednesday</v>
      </c>
      <c r="D265" s="6" t="s">
        <v>247</v>
      </c>
      <c r="E265" s="6"/>
      <c r="F265" s="6" t="s">
        <v>290</v>
      </c>
      <c r="G265" s="18">
        <v>3000</v>
      </c>
      <c r="H265" s="6" t="s">
        <v>110</v>
      </c>
      <c r="I265" s="6"/>
      <c r="K265"/>
    </row>
    <row r="266" spans="1:11" ht="12.75" x14ac:dyDescent="0.2">
      <c r="A266" s="10">
        <f t="shared" si="16"/>
        <v>264</v>
      </c>
      <c r="B266" s="19">
        <v>46009</v>
      </c>
      <c r="C266" s="24" t="str">
        <f t="shared" si="17"/>
        <v>Thursday</v>
      </c>
      <c r="D266" s="6" t="s">
        <v>218</v>
      </c>
      <c r="E266" s="6"/>
      <c r="F266" s="6" t="s">
        <v>411</v>
      </c>
      <c r="G266" s="18">
        <v>200</v>
      </c>
      <c r="H266" s="6" t="s">
        <v>22</v>
      </c>
      <c r="I266" s="6"/>
      <c r="K266"/>
    </row>
    <row r="267" spans="1:11" ht="12.75" x14ac:dyDescent="0.2">
      <c r="A267" s="10">
        <f t="shared" si="16"/>
        <v>265</v>
      </c>
      <c r="B267" s="19">
        <v>46009</v>
      </c>
      <c r="C267" s="24" t="str">
        <f t="shared" si="17"/>
        <v>Thursday</v>
      </c>
      <c r="D267" s="6" t="s">
        <v>230</v>
      </c>
      <c r="E267" s="6"/>
      <c r="F267" s="6" t="s">
        <v>324</v>
      </c>
      <c r="G267" s="18">
        <v>357</v>
      </c>
      <c r="H267" s="6" t="s">
        <v>22</v>
      </c>
      <c r="I267" s="6"/>
      <c r="K267"/>
    </row>
    <row r="268" spans="1:11" ht="12.75" x14ac:dyDescent="0.2">
      <c r="A268" s="10">
        <f t="shared" si="16"/>
        <v>266</v>
      </c>
      <c r="B268" s="19">
        <v>46009</v>
      </c>
      <c r="C268" s="24" t="str">
        <f t="shared" si="17"/>
        <v>Thursday</v>
      </c>
      <c r="D268" s="6"/>
      <c r="E268" s="6"/>
      <c r="F268" s="6" t="s">
        <v>247</v>
      </c>
      <c r="G268" s="18">
        <v>30000</v>
      </c>
      <c r="H268" s="6" t="s">
        <v>110</v>
      </c>
      <c r="I268" s="6"/>
      <c r="K268"/>
    </row>
    <row r="269" spans="1:11" ht="12.75" x14ac:dyDescent="0.2">
      <c r="A269" s="10">
        <f t="shared" si="16"/>
        <v>267</v>
      </c>
      <c r="B269" s="19">
        <v>46009</v>
      </c>
      <c r="C269" s="24" t="str">
        <f t="shared" si="17"/>
        <v>Thursday</v>
      </c>
      <c r="D269" s="6"/>
      <c r="E269" s="6"/>
      <c r="F269" s="6" t="s">
        <v>247</v>
      </c>
      <c r="G269" s="18">
        <v>22000</v>
      </c>
      <c r="H269" s="6" t="s">
        <v>110</v>
      </c>
      <c r="I269" s="6"/>
      <c r="K269"/>
    </row>
    <row r="270" spans="1:11" ht="12.75" x14ac:dyDescent="0.2">
      <c r="A270" s="10">
        <f t="shared" si="16"/>
        <v>268</v>
      </c>
      <c r="B270" s="19">
        <v>46009</v>
      </c>
      <c r="C270" s="24" t="str">
        <f t="shared" si="17"/>
        <v>Thursday</v>
      </c>
      <c r="D270" s="6"/>
      <c r="E270" s="6"/>
      <c r="F270" s="6" t="s">
        <v>247</v>
      </c>
      <c r="G270" s="18">
        <v>19000</v>
      </c>
      <c r="H270" s="6" t="s">
        <v>110</v>
      </c>
      <c r="I270" s="6"/>
      <c r="K270"/>
    </row>
    <row r="271" spans="1:11" ht="12.75" x14ac:dyDescent="0.2">
      <c r="A271" s="10">
        <f t="shared" si="16"/>
        <v>269</v>
      </c>
      <c r="B271" s="19">
        <v>46009</v>
      </c>
      <c r="C271" s="24" t="str">
        <f t="shared" si="17"/>
        <v>Thursday</v>
      </c>
      <c r="D271" s="6"/>
      <c r="E271" s="6"/>
      <c r="F271" s="6" t="s">
        <v>247</v>
      </c>
      <c r="G271" s="18">
        <v>-30000</v>
      </c>
      <c r="H271" s="6" t="s">
        <v>22</v>
      </c>
      <c r="I271" s="6"/>
      <c r="K271"/>
    </row>
    <row r="272" spans="1:11" ht="12.75" x14ac:dyDescent="0.2">
      <c r="A272" s="10">
        <f t="shared" si="16"/>
        <v>270</v>
      </c>
      <c r="B272" s="19">
        <v>46009</v>
      </c>
      <c r="C272" s="24" t="str">
        <f t="shared" si="17"/>
        <v>Thursday</v>
      </c>
      <c r="D272" s="6"/>
      <c r="E272" s="6"/>
      <c r="F272" s="6" t="s">
        <v>247</v>
      </c>
      <c r="G272" s="18">
        <v>-22000</v>
      </c>
      <c r="H272" s="6" t="s">
        <v>216</v>
      </c>
      <c r="I272" s="6"/>
      <c r="K272"/>
    </row>
    <row r="273" spans="1:11" ht="12.75" x14ac:dyDescent="0.2">
      <c r="A273" s="10">
        <f t="shared" si="16"/>
        <v>271</v>
      </c>
      <c r="B273" s="19">
        <v>46009</v>
      </c>
      <c r="C273" s="24" t="str">
        <f t="shared" si="17"/>
        <v>Thursday</v>
      </c>
      <c r="D273" s="6"/>
      <c r="E273" s="6"/>
      <c r="F273" s="6" t="s">
        <v>247</v>
      </c>
      <c r="G273" s="18">
        <v>-19000</v>
      </c>
      <c r="H273" s="6" t="s">
        <v>182</v>
      </c>
      <c r="I273" s="6"/>
      <c r="K273"/>
    </row>
    <row r="274" spans="1:11" ht="12.75" x14ac:dyDescent="0.2">
      <c r="A274" s="10">
        <f t="shared" si="16"/>
        <v>272</v>
      </c>
      <c r="B274" s="19">
        <v>46009</v>
      </c>
      <c r="C274" s="24" t="str">
        <f t="shared" si="17"/>
        <v>Thursday</v>
      </c>
      <c r="D274" s="6" t="s">
        <v>214</v>
      </c>
      <c r="E274" s="6"/>
      <c r="F274" s="6" t="s">
        <v>412</v>
      </c>
      <c r="G274" s="18">
        <v>150</v>
      </c>
      <c r="H274" s="6" t="s">
        <v>182</v>
      </c>
      <c r="I274" s="6"/>
      <c r="K274"/>
    </row>
    <row r="275" spans="1:11" ht="12.75" x14ac:dyDescent="0.2">
      <c r="A275" s="10">
        <f t="shared" si="16"/>
        <v>273</v>
      </c>
      <c r="B275" s="19">
        <v>46011</v>
      </c>
      <c r="C275" s="24" t="str">
        <f t="shared" si="17"/>
        <v>Saturday</v>
      </c>
      <c r="D275" s="6" t="s">
        <v>251</v>
      </c>
      <c r="E275" s="6"/>
      <c r="F275" s="6" t="s">
        <v>413</v>
      </c>
      <c r="G275" s="18">
        <v>177</v>
      </c>
      <c r="H275" s="6" t="s">
        <v>110</v>
      </c>
      <c r="I275" s="6"/>
      <c r="K275"/>
    </row>
    <row r="276" spans="1:11" ht="12.75" x14ac:dyDescent="0.2">
      <c r="A276" s="10">
        <f t="shared" si="16"/>
        <v>274</v>
      </c>
      <c r="B276" s="19">
        <v>46011</v>
      </c>
      <c r="C276" s="24" t="str">
        <f t="shared" si="17"/>
        <v>Saturday</v>
      </c>
      <c r="D276" s="6"/>
      <c r="E276" s="6"/>
      <c r="F276" s="6" t="s">
        <v>247</v>
      </c>
      <c r="G276" s="18">
        <v>20000</v>
      </c>
      <c r="H276" s="6" t="s">
        <v>110</v>
      </c>
      <c r="I276" s="6"/>
      <c r="K276"/>
    </row>
    <row r="277" spans="1:11" ht="12.75" x14ac:dyDescent="0.2">
      <c r="A277" s="10">
        <f t="shared" si="16"/>
        <v>275</v>
      </c>
      <c r="B277" s="19">
        <v>46011</v>
      </c>
      <c r="C277" s="24" t="str">
        <f t="shared" si="17"/>
        <v>Saturday</v>
      </c>
      <c r="D277" s="6"/>
      <c r="E277" s="6"/>
      <c r="F277" s="6" t="s">
        <v>247</v>
      </c>
      <c r="G277" s="18">
        <v>-20000</v>
      </c>
      <c r="H277" s="6" t="s">
        <v>25</v>
      </c>
      <c r="I277" s="6"/>
      <c r="K277"/>
    </row>
    <row r="278" spans="1:11" ht="12.75" x14ac:dyDescent="0.2">
      <c r="A278" s="10">
        <f t="shared" si="16"/>
        <v>276</v>
      </c>
      <c r="B278" s="19">
        <v>46011</v>
      </c>
      <c r="C278" s="24" t="str">
        <f t="shared" si="17"/>
        <v>Saturday</v>
      </c>
      <c r="D278" s="6" t="s">
        <v>251</v>
      </c>
      <c r="E278" s="6"/>
      <c r="F278" s="6" t="s">
        <v>414</v>
      </c>
      <c r="G278" s="18">
        <v>172.63</v>
      </c>
      <c r="H278" s="6" t="s">
        <v>185</v>
      </c>
      <c r="I278" s="6"/>
      <c r="K278"/>
    </row>
    <row r="279" spans="1:11" ht="12.75" x14ac:dyDescent="0.2">
      <c r="A279" s="10">
        <f t="shared" si="16"/>
        <v>277</v>
      </c>
      <c r="B279" s="19">
        <v>46011</v>
      </c>
      <c r="C279" s="24" t="str">
        <f t="shared" si="17"/>
        <v>Saturday</v>
      </c>
      <c r="D279" s="6" t="s">
        <v>251</v>
      </c>
      <c r="E279" s="6"/>
      <c r="F279" s="6" t="s">
        <v>415</v>
      </c>
      <c r="G279" s="18">
        <v>31.07</v>
      </c>
      <c r="H279" s="6" t="s">
        <v>185</v>
      </c>
      <c r="I279" s="6"/>
      <c r="K279"/>
    </row>
    <row r="280" spans="1:11" ht="12.75" x14ac:dyDescent="0.2">
      <c r="A280" s="10">
        <f t="shared" si="16"/>
        <v>278</v>
      </c>
      <c r="B280" s="19">
        <v>46012</v>
      </c>
      <c r="C280" s="24" t="str">
        <f t="shared" si="17"/>
        <v>Sunday</v>
      </c>
      <c r="D280" s="6" t="s">
        <v>214</v>
      </c>
      <c r="E280" s="6"/>
      <c r="F280" s="6" t="s">
        <v>416</v>
      </c>
      <c r="G280" s="72">
        <v>179.66</v>
      </c>
      <c r="H280" s="6" t="s">
        <v>110</v>
      </c>
      <c r="I280" s="6"/>
      <c r="K280"/>
    </row>
    <row r="281" spans="1:11" ht="12.75" x14ac:dyDescent="0.2">
      <c r="A281" s="10">
        <f t="shared" si="16"/>
        <v>279</v>
      </c>
      <c r="B281" s="19">
        <v>46012</v>
      </c>
      <c r="C281" s="24" t="str">
        <f t="shared" si="17"/>
        <v>Sunday</v>
      </c>
      <c r="D281" s="6" t="s">
        <v>247</v>
      </c>
      <c r="E281" s="6"/>
      <c r="F281" s="6" t="s">
        <v>247</v>
      </c>
      <c r="G281" s="72">
        <v>15000</v>
      </c>
      <c r="H281" s="6" t="s">
        <v>110</v>
      </c>
      <c r="I281" s="6"/>
      <c r="K281"/>
    </row>
    <row r="282" spans="1:11" ht="12.75" x14ac:dyDescent="0.2">
      <c r="A282" s="10">
        <f t="shared" si="16"/>
        <v>280</v>
      </c>
      <c r="B282" s="19">
        <v>46012</v>
      </c>
      <c r="C282" s="24" t="str">
        <f t="shared" si="17"/>
        <v>Sunday</v>
      </c>
      <c r="D282" s="6" t="s">
        <v>247</v>
      </c>
      <c r="E282" s="6"/>
      <c r="F282" s="6" t="s">
        <v>247</v>
      </c>
      <c r="G282" s="72">
        <v>-15000</v>
      </c>
      <c r="H282" s="6" t="s">
        <v>216</v>
      </c>
      <c r="I282" s="6"/>
      <c r="K282"/>
    </row>
    <row r="283" spans="1:11" ht="12.75" x14ac:dyDescent="0.2">
      <c r="A283" s="10">
        <f t="shared" si="16"/>
        <v>281</v>
      </c>
      <c r="B283" s="19">
        <v>46013</v>
      </c>
      <c r="C283" s="24" t="str">
        <f t="shared" si="17"/>
        <v>Monday</v>
      </c>
      <c r="D283" s="6" t="s">
        <v>230</v>
      </c>
      <c r="E283" s="6"/>
      <c r="F283" s="6" t="s">
        <v>307</v>
      </c>
      <c r="G283" s="72">
        <v>1000</v>
      </c>
      <c r="H283" s="6" t="s">
        <v>22</v>
      </c>
      <c r="I283" s="6"/>
      <c r="K283"/>
    </row>
    <row r="284" spans="1:11" ht="12.75" x14ac:dyDescent="0.2">
      <c r="A284" s="10">
        <f t="shared" si="16"/>
        <v>282</v>
      </c>
      <c r="B284" s="19">
        <v>46013</v>
      </c>
      <c r="C284" s="24" t="str">
        <f t="shared" si="17"/>
        <v>Monday</v>
      </c>
      <c r="D284" s="6" t="s">
        <v>230</v>
      </c>
      <c r="E284" s="6"/>
      <c r="F284" s="6" t="s">
        <v>417</v>
      </c>
      <c r="G284" s="72">
        <v>275</v>
      </c>
      <c r="H284" s="6" t="s">
        <v>110</v>
      </c>
      <c r="I284" s="6"/>
      <c r="K284"/>
    </row>
    <row r="285" spans="1:11" ht="12.75" x14ac:dyDescent="0.2">
      <c r="A285" s="10">
        <f t="shared" si="16"/>
        <v>283</v>
      </c>
      <c r="B285" s="19">
        <v>46013</v>
      </c>
      <c r="C285" s="24" t="str">
        <f t="shared" si="17"/>
        <v>Monday</v>
      </c>
      <c r="D285" s="6" t="s">
        <v>214</v>
      </c>
      <c r="E285" s="6"/>
      <c r="F285" s="6" t="s">
        <v>418</v>
      </c>
      <c r="G285" s="18">
        <v>1720</v>
      </c>
      <c r="H285" s="6" t="s">
        <v>110</v>
      </c>
      <c r="I285" s="6"/>
      <c r="K285"/>
    </row>
    <row r="286" spans="1:11" ht="12.75" x14ac:dyDescent="0.2">
      <c r="A286" s="10">
        <f t="shared" si="16"/>
        <v>284</v>
      </c>
      <c r="B286" s="19">
        <v>46013</v>
      </c>
      <c r="C286" s="24" t="str">
        <f t="shared" si="17"/>
        <v>Monday</v>
      </c>
      <c r="D286" s="6" t="s">
        <v>214</v>
      </c>
      <c r="E286" s="6"/>
      <c r="F286" s="6" t="s">
        <v>419</v>
      </c>
      <c r="G286" s="18">
        <v>795</v>
      </c>
      <c r="H286" s="6" t="s">
        <v>110</v>
      </c>
      <c r="I286" s="6"/>
      <c r="K286"/>
    </row>
    <row r="287" spans="1:11" ht="12.75" x14ac:dyDescent="0.2">
      <c r="A287" s="10">
        <f t="shared" si="16"/>
        <v>285</v>
      </c>
      <c r="B287" s="19">
        <v>46014</v>
      </c>
      <c r="C287" s="24" t="str">
        <f t="shared" si="17"/>
        <v>Tuesday</v>
      </c>
      <c r="D287" s="6" t="s">
        <v>19</v>
      </c>
      <c r="E287" s="6"/>
      <c r="F287" s="6" t="s">
        <v>420</v>
      </c>
      <c r="G287" s="18">
        <v>10666.67</v>
      </c>
      <c r="H287" s="6" t="s">
        <v>110</v>
      </c>
      <c r="I287" s="6"/>
      <c r="K287"/>
    </row>
    <row r="288" spans="1:11" ht="12.75" x14ac:dyDescent="0.2">
      <c r="A288" s="10">
        <f t="shared" si="16"/>
        <v>286</v>
      </c>
      <c r="B288" s="19">
        <v>46014</v>
      </c>
      <c r="C288" s="24" t="str">
        <f t="shared" si="17"/>
        <v>Tuesday</v>
      </c>
      <c r="D288" s="6" t="s">
        <v>19</v>
      </c>
      <c r="E288" s="6"/>
      <c r="F288" s="6" t="s">
        <v>421</v>
      </c>
      <c r="G288" s="18">
        <v>6666.666666666667</v>
      </c>
      <c r="H288" s="6" t="s">
        <v>110</v>
      </c>
      <c r="I288" s="6"/>
      <c r="K288"/>
    </row>
    <row r="289" spans="1:11" ht="12.75" x14ac:dyDescent="0.2">
      <c r="A289" s="10">
        <f t="shared" si="16"/>
        <v>287</v>
      </c>
      <c r="B289" s="19">
        <v>46014</v>
      </c>
      <c r="C289" s="24" t="str">
        <f t="shared" si="17"/>
        <v>Tuesday</v>
      </c>
      <c r="D289" s="6" t="s">
        <v>214</v>
      </c>
      <c r="E289" s="6"/>
      <c r="F289" s="6" t="s">
        <v>422</v>
      </c>
      <c r="G289" s="18">
        <v>500</v>
      </c>
      <c r="H289" s="6" t="s">
        <v>25</v>
      </c>
      <c r="I289" s="6"/>
      <c r="K289"/>
    </row>
    <row r="290" spans="1:11" ht="12.75" x14ac:dyDescent="0.2">
      <c r="A290" s="10">
        <f t="shared" si="16"/>
        <v>288</v>
      </c>
      <c r="B290" s="19">
        <v>46014</v>
      </c>
      <c r="C290" s="24" t="str">
        <f t="shared" si="17"/>
        <v>Tuesday</v>
      </c>
      <c r="D290" s="6" t="s">
        <v>214</v>
      </c>
      <c r="E290" s="6"/>
      <c r="F290" s="6" t="s">
        <v>423</v>
      </c>
      <c r="G290" s="18">
        <v>1400</v>
      </c>
      <c r="H290" s="6" t="s">
        <v>110</v>
      </c>
      <c r="I290" s="6"/>
      <c r="K290"/>
    </row>
    <row r="291" spans="1:11" ht="12.75" x14ac:dyDescent="0.2">
      <c r="A291" s="10">
        <f t="shared" si="16"/>
        <v>289</v>
      </c>
      <c r="B291" s="19">
        <v>46014</v>
      </c>
      <c r="C291" s="24" t="str">
        <f t="shared" si="17"/>
        <v>Tuesday</v>
      </c>
      <c r="D291" s="6" t="s">
        <v>214</v>
      </c>
      <c r="E291" s="6"/>
      <c r="F291" s="6" t="s">
        <v>424</v>
      </c>
      <c r="G291" s="18">
        <v>361</v>
      </c>
      <c r="H291" s="6" t="s">
        <v>110</v>
      </c>
      <c r="I291" s="6"/>
      <c r="K291"/>
    </row>
    <row r="292" spans="1:11" ht="12.75" x14ac:dyDescent="0.2">
      <c r="A292" s="10">
        <f t="shared" si="16"/>
        <v>290</v>
      </c>
      <c r="B292" s="19">
        <v>46014</v>
      </c>
      <c r="C292" s="24" t="str">
        <f t="shared" si="17"/>
        <v>Tuesday</v>
      </c>
      <c r="D292" s="6" t="s">
        <v>214</v>
      </c>
      <c r="E292" s="6"/>
      <c r="F292" s="6" t="s">
        <v>425</v>
      </c>
      <c r="G292" s="18">
        <v>-1720</v>
      </c>
      <c r="H292" s="6" t="s">
        <v>110</v>
      </c>
      <c r="I292" s="6"/>
      <c r="K292"/>
    </row>
    <row r="293" spans="1:11" ht="12.75" x14ac:dyDescent="0.2">
      <c r="A293" s="10">
        <f t="shared" si="16"/>
        <v>291</v>
      </c>
      <c r="B293" s="19">
        <v>46014</v>
      </c>
      <c r="C293" s="24" t="str">
        <f t="shared" si="17"/>
        <v>Tuesday</v>
      </c>
      <c r="D293" s="6" t="s">
        <v>247</v>
      </c>
      <c r="E293" s="6"/>
      <c r="F293" s="6" t="s">
        <v>290</v>
      </c>
      <c r="G293" s="18">
        <v>-10000</v>
      </c>
      <c r="H293" s="6" t="s">
        <v>182</v>
      </c>
      <c r="I293" s="6"/>
      <c r="K293"/>
    </row>
    <row r="294" spans="1:11" ht="12.75" x14ac:dyDescent="0.2">
      <c r="A294" s="10">
        <f t="shared" si="16"/>
        <v>292</v>
      </c>
      <c r="B294" s="19">
        <v>46014</v>
      </c>
      <c r="C294" s="24" t="str">
        <f t="shared" si="17"/>
        <v>Tuesday</v>
      </c>
      <c r="D294" s="6" t="s">
        <v>247</v>
      </c>
      <c r="E294" s="6"/>
      <c r="F294" s="6" t="s">
        <v>290</v>
      </c>
      <c r="G294" s="18">
        <v>10000</v>
      </c>
      <c r="H294" s="6" t="s">
        <v>110</v>
      </c>
      <c r="I294" s="6"/>
      <c r="K294"/>
    </row>
    <row r="295" spans="1:11" ht="12.75" x14ac:dyDescent="0.2">
      <c r="A295" s="10">
        <f t="shared" si="16"/>
        <v>293</v>
      </c>
      <c r="B295" s="19">
        <v>46015</v>
      </c>
      <c r="C295" s="24" t="str">
        <f t="shared" si="17"/>
        <v>Wednesday</v>
      </c>
      <c r="D295" s="6" t="s">
        <v>230</v>
      </c>
      <c r="E295" s="6"/>
      <c r="F295" s="6" t="s">
        <v>426</v>
      </c>
      <c r="G295" s="18">
        <v>1000</v>
      </c>
      <c r="H295" s="6" t="s">
        <v>22</v>
      </c>
      <c r="I295" s="6"/>
      <c r="K295"/>
    </row>
    <row r="296" spans="1:11" ht="12.75" x14ac:dyDescent="0.2">
      <c r="A296" s="10">
        <f t="shared" si="16"/>
        <v>294</v>
      </c>
      <c r="B296" s="19">
        <v>46015</v>
      </c>
      <c r="C296" s="24" t="str">
        <f t="shared" si="17"/>
        <v>Wednesday</v>
      </c>
      <c r="D296" s="6" t="s">
        <v>230</v>
      </c>
      <c r="E296" s="6"/>
      <c r="F296" s="6" t="s">
        <v>324</v>
      </c>
      <c r="G296" s="18">
        <v>284</v>
      </c>
      <c r="H296" s="6" t="s">
        <v>22</v>
      </c>
      <c r="I296" s="6"/>
      <c r="K296"/>
    </row>
    <row r="297" spans="1:11" ht="12.75" x14ac:dyDescent="0.2">
      <c r="A297" s="10">
        <f t="shared" si="16"/>
        <v>295</v>
      </c>
      <c r="B297" s="19">
        <v>46015</v>
      </c>
      <c r="C297" s="24" t="str">
        <f t="shared" si="17"/>
        <v>Wednesday</v>
      </c>
      <c r="D297" s="6" t="s">
        <v>230</v>
      </c>
      <c r="E297" s="6"/>
      <c r="F297" s="6" t="s">
        <v>417</v>
      </c>
      <c r="G297" s="18">
        <v>9979.2900000000009</v>
      </c>
      <c r="H297" s="6" t="s">
        <v>22</v>
      </c>
      <c r="I297" s="6"/>
      <c r="K297"/>
    </row>
    <row r="298" spans="1:11" ht="12.75" x14ac:dyDescent="0.2">
      <c r="A298" s="10">
        <f t="shared" si="16"/>
        <v>296</v>
      </c>
      <c r="B298" s="19">
        <v>46015</v>
      </c>
      <c r="C298" s="24" t="str">
        <f t="shared" si="17"/>
        <v>Wednesday</v>
      </c>
      <c r="D298" s="6" t="s">
        <v>247</v>
      </c>
      <c r="E298" s="6"/>
      <c r="F298" s="6" t="s">
        <v>427</v>
      </c>
      <c r="G298" s="18">
        <v>10979.29</v>
      </c>
      <c r="H298" s="6" t="s">
        <v>110</v>
      </c>
      <c r="I298" s="6"/>
      <c r="K298"/>
    </row>
    <row r="299" spans="1:11" ht="12.75" x14ac:dyDescent="0.2">
      <c r="A299" s="10">
        <f t="shared" si="16"/>
        <v>297</v>
      </c>
      <c r="B299" s="19">
        <v>46015</v>
      </c>
      <c r="C299" s="24" t="str">
        <f t="shared" si="17"/>
        <v>Wednesday</v>
      </c>
      <c r="D299" s="6" t="s">
        <v>247</v>
      </c>
      <c r="E299" s="6"/>
      <c r="F299" s="6" t="s">
        <v>427</v>
      </c>
      <c r="G299" s="18">
        <v>-10979.29</v>
      </c>
      <c r="H299" s="6" t="s">
        <v>22</v>
      </c>
      <c r="I299" s="6"/>
      <c r="K299"/>
    </row>
    <row r="300" spans="1:11" ht="12.75" x14ac:dyDescent="0.2">
      <c r="A300" s="10">
        <f t="shared" si="16"/>
        <v>298</v>
      </c>
      <c r="B300" s="19">
        <v>46016</v>
      </c>
      <c r="C300" s="24" t="str">
        <f t="shared" si="17"/>
        <v>Thursday</v>
      </c>
      <c r="D300" s="6" t="s">
        <v>247</v>
      </c>
      <c r="E300" s="6"/>
      <c r="F300" s="6" t="s">
        <v>247</v>
      </c>
      <c r="G300" s="18">
        <v>4000</v>
      </c>
      <c r="H300" s="6" t="s">
        <v>110</v>
      </c>
      <c r="I300" s="6"/>
      <c r="K300"/>
    </row>
    <row r="301" spans="1:11" ht="12.75" x14ac:dyDescent="0.2">
      <c r="A301" s="10">
        <f t="shared" si="16"/>
        <v>299</v>
      </c>
      <c r="B301" s="19">
        <v>46016</v>
      </c>
      <c r="C301" s="24" t="str">
        <f t="shared" si="17"/>
        <v>Thursday</v>
      </c>
      <c r="D301" s="6" t="s">
        <v>247</v>
      </c>
      <c r="E301" s="6"/>
      <c r="F301" s="6" t="s">
        <v>247</v>
      </c>
      <c r="G301" s="18">
        <v>-4000</v>
      </c>
      <c r="H301" s="6" t="s">
        <v>182</v>
      </c>
      <c r="I301" s="6"/>
      <c r="K301"/>
    </row>
    <row r="302" spans="1:11" ht="12.75" x14ac:dyDescent="0.2">
      <c r="A302" s="10">
        <f t="shared" si="16"/>
        <v>300</v>
      </c>
      <c r="B302" s="19">
        <v>46017</v>
      </c>
      <c r="C302" s="24" t="str">
        <f t="shared" si="17"/>
        <v>Friday</v>
      </c>
      <c r="D302" s="6" t="s">
        <v>214</v>
      </c>
      <c r="E302" s="6"/>
      <c r="F302" s="6" t="s">
        <v>428</v>
      </c>
      <c r="G302" s="18">
        <v>104</v>
      </c>
      <c r="H302" s="6" t="s">
        <v>182</v>
      </c>
      <c r="I302" s="6"/>
      <c r="K302"/>
    </row>
    <row r="303" spans="1:11" ht="12.75" x14ac:dyDescent="0.2">
      <c r="A303" s="10">
        <f t="shared" si="16"/>
        <v>301</v>
      </c>
      <c r="B303" s="19">
        <v>46017</v>
      </c>
      <c r="C303" s="24" t="str">
        <f t="shared" si="17"/>
        <v>Friday</v>
      </c>
      <c r="D303" s="6" t="s">
        <v>214</v>
      </c>
      <c r="E303" s="6"/>
      <c r="F303" s="6" t="s">
        <v>429</v>
      </c>
      <c r="G303" s="18">
        <v>272.7</v>
      </c>
      <c r="H303" s="6" t="s">
        <v>182</v>
      </c>
      <c r="I303" s="6"/>
      <c r="K303"/>
    </row>
    <row r="304" spans="1:11" ht="12.75" x14ac:dyDescent="0.2">
      <c r="A304" s="10">
        <f t="shared" si="16"/>
        <v>302</v>
      </c>
      <c r="B304" s="19">
        <v>46017</v>
      </c>
      <c r="C304" s="24" t="str">
        <f t="shared" si="17"/>
        <v>Friday</v>
      </c>
      <c r="D304" s="6"/>
      <c r="E304" s="6"/>
      <c r="F304" s="6" t="s">
        <v>430</v>
      </c>
      <c r="G304" s="18">
        <v>523.96</v>
      </c>
      <c r="H304" s="6" t="s">
        <v>22</v>
      </c>
      <c r="I304" s="6"/>
      <c r="K304"/>
    </row>
    <row r="305" spans="1:11" ht="12.75" x14ac:dyDescent="0.2">
      <c r="A305" s="10">
        <f t="shared" si="16"/>
        <v>303</v>
      </c>
      <c r="B305" s="19">
        <v>46018</v>
      </c>
      <c r="C305" s="24" t="str">
        <f t="shared" si="17"/>
        <v>Saturday</v>
      </c>
      <c r="D305" s="6"/>
      <c r="E305" s="6"/>
      <c r="F305" s="6" t="s">
        <v>431</v>
      </c>
      <c r="G305" s="18">
        <v>504</v>
      </c>
      <c r="H305" s="6" t="s">
        <v>182</v>
      </c>
      <c r="I305" s="6"/>
      <c r="K305"/>
    </row>
    <row r="306" spans="1:11" ht="12.75" x14ac:dyDescent="0.2">
      <c r="A306" s="10">
        <f t="shared" si="16"/>
        <v>304</v>
      </c>
      <c r="B306" s="19">
        <v>46018</v>
      </c>
      <c r="C306" s="24" t="str">
        <f t="shared" si="17"/>
        <v>Saturday</v>
      </c>
      <c r="D306" s="6" t="s">
        <v>247</v>
      </c>
      <c r="E306" s="6"/>
      <c r="F306" s="6" t="s">
        <v>247</v>
      </c>
      <c r="G306" s="18">
        <v>-6000</v>
      </c>
      <c r="H306" s="6" t="s">
        <v>25</v>
      </c>
      <c r="I306" s="6"/>
      <c r="K306"/>
    </row>
    <row r="307" spans="1:11" ht="12.6" customHeight="1" x14ac:dyDescent="0.2">
      <c r="A307" s="10">
        <f t="shared" si="16"/>
        <v>305</v>
      </c>
      <c r="B307" s="19">
        <v>46018</v>
      </c>
      <c r="C307" s="24" t="str">
        <f t="shared" si="17"/>
        <v>Saturday</v>
      </c>
      <c r="D307" s="6" t="s">
        <v>247</v>
      </c>
      <c r="E307" s="6"/>
      <c r="F307" s="6" t="s">
        <v>247</v>
      </c>
      <c r="G307" s="18">
        <v>6000</v>
      </c>
      <c r="H307" s="6" t="s">
        <v>110</v>
      </c>
      <c r="I307" s="6"/>
      <c r="K307"/>
    </row>
    <row r="308" spans="1:11" ht="12.75" x14ac:dyDescent="0.2">
      <c r="A308" s="10">
        <f t="shared" si="16"/>
        <v>306</v>
      </c>
      <c r="B308" s="19">
        <v>46018</v>
      </c>
      <c r="C308" s="24" t="str">
        <f t="shared" si="17"/>
        <v>Saturday</v>
      </c>
      <c r="D308" s="6"/>
      <c r="E308" s="6"/>
      <c r="F308" s="6" t="s">
        <v>430</v>
      </c>
      <c r="G308" s="18">
        <v>584.16999999999996</v>
      </c>
      <c r="H308" s="6" t="s">
        <v>22</v>
      </c>
      <c r="I308" s="6"/>
      <c r="K308"/>
    </row>
    <row r="309" spans="1:11" ht="12.75" x14ac:dyDescent="0.2">
      <c r="A309" s="10">
        <f t="shared" si="16"/>
        <v>307</v>
      </c>
      <c r="B309" s="19">
        <v>46018</v>
      </c>
      <c r="C309" s="24" t="str">
        <f t="shared" si="17"/>
        <v>Saturday</v>
      </c>
      <c r="D309" s="6"/>
      <c r="E309" s="6"/>
      <c r="F309" s="6" t="s">
        <v>432</v>
      </c>
      <c r="G309" s="18">
        <v>126</v>
      </c>
      <c r="H309" s="6" t="s">
        <v>182</v>
      </c>
      <c r="I309" s="6"/>
      <c r="K309"/>
    </row>
    <row r="310" spans="1:11" ht="12.75" x14ac:dyDescent="0.2">
      <c r="A310" s="10">
        <f t="shared" si="16"/>
        <v>308</v>
      </c>
      <c r="B310" s="19">
        <v>46019</v>
      </c>
      <c r="C310" s="24" t="str">
        <f t="shared" si="17"/>
        <v>Sunday</v>
      </c>
      <c r="D310" s="6"/>
      <c r="E310" s="6"/>
      <c r="F310" s="6" t="s">
        <v>247</v>
      </c>
      <c r="G310" s="18">
        <v>-14630.22416666674</v>
      </c>
      <c r="H310" s="6" t="s">
        <v>22</v>
      </c>
      <c r="I310" s="6"/>
      <c r="K310"/>
    </row>
    <row r="311" spans="1:11" ht="12.75" x14ac:dyDescent="0.2">
      <c r="A311" s="10">
        <f t="shared" si="16"/>
        <v>309</v>
      </c>
      <c r="B311" s="19">
        <v>46019</v>
      </c>
      <c r="C311" s="24" t="str">
        <f t="shared" si="17"/>
        <v>Sunday</v>
      </c>
      <c r="D311" s="6"/>
      <c r="E311" s="6"/>
      <c r="F311" s="6" t="s">
        <v>247</v>
      </c>
      <c r="G311" s="18">
        <v>-22030.814166666707</v>
      </c>
      <c r="H311" s="6" t="s">
        <v>216</v>
      </c>
      <c r="I311" s="6"/>
      <c r="K311"/>
    </row>
    <row r="312" spans="1:11" ht="12.75" x14ac:dyDescent="0.2">
      <c r="A312" s="10">
        <f t="shared" ref="A312:A375" si="18">A311+1</f>
        <v>310</v>
      </c>
      <c r="B312" s="19">
        <v>46019</v>
      </c>
      <c r="C312" s="24" t="str">
        <f t="shared" ref="C312:C375" si="19">TEXT(B312,"dddd")</f>
        <v>Sunday</v>
      </c>
      <c r="D312" s="6"/>
      <c r="E312" s="6"/>
      <c r="F312" s="6" t="s">
        <v>247</v>
      </c>
      <c r="G312" s="18">
        <v>-24255.514166666704</v>
      </c>
      <c r="H312" s="6" t="s">
        <v>182</v>
      </c>
      <c r="I312" s="6"/>
      <c r="K312"/>
    </row>
    <row r="313" spans="1:11" ht="12.75" x14ac:dyDescent="0.2">
      <c r="A313" s="10">
        <f t="shared" si="18"/>
        <v>311</v>
      </c>
      <c r="B313" s="19">
        <v>46019</v>
      </c>
      <c r="C313" s="24" t="str">
        <f t="shared" si="19"/>
        <v>Sunday</v>
      </c>
      <c r="D313" s="6"/>
      <c r="E313" s="6"/>
      <c r="F313" s="6" t="s">
        <v>247</v>
      </c>
      <c r="G313" s="18">
        <v>-4036.8183333335901</v>
      </c>
      <c r="H313" s="6" t="s">
        <v>25</v>
      </c>
      <c r="I313" s="6"/>
      <c r="K313"/>
    </row>
    <row r="314" spans="1:11" ht="12.75" x14ac:dyDescent="0.2">
      <c r="A314" s="10">
        <f t="shared" si="18"/>
        <v>312</v>
      </c>
      <c r="B314" s="19">
        <v>46019</v>
      </c>
      <c r="C314" s="24" t="str">
        <f t="shared" si="19"/>
        <v>Sunday</v>
      </c>
      <c r="D314" s="6"/>
      <c r="E314" s="6"/>
      <c r="F314" s="6" t="s">
        <v>247</v>
      </c>
      <c r="G314" s="18">
        <v>14630.2241666667</v>
      </c>
      <c r="H314" s="6" t="s">
        <v>110</v>
      </c>
      <c r="I314" s="6"/>
      <c r="K314"/>
    </row>
    <row r="315" spans="1:11" ht="13.15" customHeight="1" x14ac:dyDescent="0.2">
      <c r="A315" s="10">
        <f t="shared" si="18"/>
        <v>313</v>
      </c>
      <c r="B315" s="19">
        <v>46019</v>
      </c>
      <c r="C315" s="24" t="str">
        <f t="shared" si="19"/>
        <v>Sunday</v>
      </c>
      <c r="D315" s="6"/>
      <c r="E315" s="6"/>
      <c r="F315" s="6" t="s">
        <v>247</v>
      </c>
      <c r="G315" s="18">
        <v>22030.8141666667</v>
      </c>
      <c r="H315" s="6" t="s">
        <v>110</v>
      </c>
      <c r="I315" s="6"/>
      <c r="K315"/>
    </row>
    <row r="316" spans="1:11" ht="12.6" customHeight="1" x14ac:dyDescent="0.2">
      <c r="A316" s="10">
        <f t="shared" si="18"/>
        <v>314</v>
      </c>
      <c r="B316" s="19">
        <v>46019</v>
      </c>
      <c r="C316" s="24" t="str">
        <f t="shared" si="19"/>
        <v>Sunday</v>
      </c>
      <c r="D316" s="6"/>
      <c r="E316" s="6"/>
      <c r="F316" s="6" t="s">
        <v>247</v>
      </c>
      <c r="G316" s="18">
        <v>24255.51</v>
      </c>
      <c r="H316" s="6" t="s">
        <v>110</v>
      </c>
      <c r="I316" s="6"/>
      <c r="K316"/>
    </row>
    <row r="317" spans="1:11" ht="12.75" x14ac:dyDescent="0.2">
      <c r="A317" s="10">
        <f t="shared" si="18"/>
        <v>315</v>
      </c>
      <c r="B317" s="19">
        <v>46019</v>
      </c>
      <c r="C317" s="24" t="str">
        <f t="shared" si="19"/>
        <v>Sunday</v>
      </c>
      <c r="D317" s="6"/>
      <c r="E317" s="6"/>
      <c r="F317" s="6" t="s">
        <v>247</v>
      </c>
      <c r="G317" s="18">
        <v>4036.818333333591</v>
      </c>
      <c r="H317" s="6" t="s">
        <v>110</v>
      </c>
      <c r="I317" s="6"/>
      <c r="K317"/>
    </row>
    <row r="318" spans="1:11" ht="12.75" x14ac:dyDescent="0.2">
      <c r="A318" s="10">
        <f t="shared" si="18"/>
        <v>316</v>
      </c>
      <c r="B318" s="19">
        <v>46019</v>
      </c>
      <c r="C318" s="24" t="str">
        <f t="shared" si="19"/>
        <v>Sunday</v>
      </c>
      <c r="D318" s="6" t="s">
        <v>218</v>
      </c>
      <c r="E318" s="6"/>
      <c r="F318" s="6" t="s">
        <v>433</v>
      </c>
      <c r="G318" s="18">
        <v>1550.86</v>
      </c>
      <c r="H318" s="6" t="s">
        <v>22</v>
      </c>
      <c r="I318" s="6"/>
      <c r="K318"/>
    </row>
    <row r="319" spans="1:11" ht="12.75" x14ac:dyDescent="0.2">
      <c r="A319" s="10">
        <f t="shared" si="18"/>
        <v>317</v>
      </c>
      <c r="B319" s="19">
        <v>46019</v>
      </c>
      <c r="C319" s="24" t="str">
        <f t="shared" si="19"/>
        <v>Sunday</v>
      </c>
      <c r="D319" s="6" t="s">
        <v>218</v>
      </c>
      <c r="E319" s="6"/>
      <c r="F319" s="6" t="s">
        <v>434</v>
      </c>
      <c r="G319" s="18">
        <v>1708.26</v>
      </c>
      <c r="H319" s="6" t="s">
        <v>22</v>
      </c>
      <c r="I319" s="6"/>
      <c r="K319"/>
    </row>
    <row r="320" spans="1:11" ht="12.75" x14ac:dyDescent="0.2">
      <c r="A320" s="10">
        <f t="shared" si="18"/>
        <v>318</v>
      </c>
      <c r="B320" s="19">
        <v>46020</v>
      </c>
      <c r="C320" s="24" t="str">
        <f t="shared" si="19"/>
        <v>Monday</v>
      </c>
      <c r="D320" s="6" t="s">
        <v>218</v>
      </c>
      <c r="E320" s="6"/>
      <c r="F320" s="6" t="s">
        <v>435</v>
      </c>
      <c r="G320" s="18">
        <v>353.86</v>
      </c>
      <c r="H320" s="6" t="s">
        <v>22</v>
      </c>
      <c r="I320" s="6"/>
      <c r="K320"/>
    </row>
    <row r="321" spans="1:11" ht="12.75" x14ac:dyDescent="0.2">
      <c r="A321" s="10">
        <f t="shared" si="18"/>
        <v>319</v>
      </c>
      <c r="B321" s="19">
        <v>46021</v>
      </c>
      <c r="C321" s="24" t="str">
        <f t="shared" si="19"/>
        <v>Tuesday</v>
      </c>
      <c r="D321" s="6" t="s">
        <v>214</v>
      </c>
      <c r="E321" s="6"/>
      <c r="F321" s="6" t="s">
        <v>436</v>
      </c>
      <c r="G321" s="18">
        <v>648</v>
      </c>
      <c r="H321" s="6" t="s">
        <v>182</v>
      </c>
      <c r="I321" s="6"/>
      <c r="K321"/>
    </row>
    <row r="322" spans="1:11" ht="13.15" customHeight="1" x14ac:dyDescent="0.2">
      <c r="A322" s="10">
        <f t="shared" si="18"/>
        <v>320</v>
      </c>
      <c r="B322" s="19">
        <v>46022</v>
      </c>
      <c r="C322" s="24" t="str">
        <f t="shared" si="19"/>
        <v>Wednesday</v>
      </c>
      <c r="D322" s="6" t="s">
        <v>214</v>
      </c>
      <c r="E322" s="6"/>
      <c r="F322" s="6" t="s">
        <v>437</v>
      </c>
      <c r="G322" s="18">
        <v>1875.42</v>
      </c>
      <c r="H322" s="6" t="s">
        <v>110</v>
      </c>
      <c r="I322" s="6"/>
      <c r="K322"/>
    </row>
    <row r="323" spans="1:11" ht="12.75" x14ac:dyDescent="0.2">
      <c r="A323" s="10">
        <f t="shared" si="18"/>
        <v>321</v>
      </c>
      <c r="B323" s="19">
        <v>46024</v>
      </c>
      <c r="C323" s="24" t="str">
        <f t="shared" si="19"/>
        <v>Friday</v>
      </c>
      <c r="D323" s="6" t="s">
        <v>19</v>
      </c>
      <c r="E323" s="6"/>
      <c r="F323" s="6" t="s">
        <v>438</v>
      </c>
      <c r="G323" s="18">
        <v>1</v>
      </c>
      <c r="H323" s="6" t="s">
        <v>110</v>
      </c>
      <c r="I323" s="6"/>
      <c r="K323"/>
    </row>
    <row r="324" spans="1:11" ht="12.75" x14ac:dyDescent="0.2">
      <c r="A324" s="10">
        <f t="shared" si="18"/>
        <v>322</v>
      </c>
      <c r="B324" s="19">
        <v>46024</v>
      </c>
      <c r="C324" s="24" t="str">
        <f t="shared" si="19"/>
        <v>Friday</v>
      </c>
      <c r="D324" s="6" t="s">
        <v>69</v>
      </c>
      <c r="E324" s="6" t="s">
        <v>370</v>
      </c>
      <c r="F324" s="6" t="s">
        <v>371</v>
      </c>
      <c r="G324" s="18">
        <v>5000</v>
      </c>
      <c r="H324" s="6" t="s">
        <v>110</v>
      </c>
      <c r="I324" s="6"/>
      <c r="K324"/>
    </row>
    <row r="325" spans="1:11" ht="12.75" x14ac:dyDescent="0.2">
      <c r="A325" s="10">
        <f t="shared" si="18"/>
        <v>323</v>
      </c>
      <c r="B325" s="19">
        <v>46024</v>
      </c>
      <c r="C325" s="24" t="str">
        <f t="shared" si="19"/>
        <v>Friday</v>
      </c>
      <c r="D325" s="6" t="s">
        <v>220</v>
      </c>
      <c r="E325" s="6"/>
      <c r="F325" s="6" t="s">
        <v>439</v>
      </c>
      <c r="G325" s="72">
        <v>3000</v>
      </c>
      <c r="H325" s="6" t="s">
        <v>110</v>
      </c>
      <c r="I325" s="6"/>
      <c r="K325"/>
    </row>
    <row r="326" spans="1:11" ht="12.75" x14ac:dyDescent="0.2">
      <c r="A326" s="10">
        <f t="shared" si="18"/>
        <v>324</v>
      </c>
      <c r="B326" s="19">
        <v>46024</v>
      </c>
      <c r="C326" s="24" t="str">
        <f t="shared" si="19"/>
        <v>Friday</v>
      </c>
      <c r="D326" s="6" t="s">
        <v>220</v>
      </c>
      <c r="E326" s="6"/>
      <c r="F326" s="6" t="s">
        <v>439</v>
      </c>
      <c r="G326" s="18">
        <v>-3000</v>
      </c>
      <c r="H326" s="6" t="s">
        <v>22</v>
      </c>
      <c r="I326" s="6"/>
      <c r="K326"/>
    </row>
    <row r="327" spans="1:11" ht="12.6" customHeight="1" x14ac:dyDescent="0.2">
      <c r="A327" s="10">
        <f t="shared" si="18"/>
        <v>325</v>
      </c>
      <c r="B327" s="19">
        <v>46024</v>
      </c>
      <c r="C327" s="24" t="str">
        <f t="shared" si="19"/>
        <v>Friday</v>
      </c>
      <c r="D327" s="6" t="s">
        <v>220</v>
      </c>
      <c r="E327" s="6"/>
      <c r="F327" s="6" t="s">
        <v>440</v>
      </c>
      <c r="G327" s="18">
        <v>3000</v>
      </c>
      <c r="H327" s="6" t="s">
        <v>22</v>
      </c>
      <c r="I327" s="6"/>
      <c r="K327"/>
    </row>
    <row r="328" spans="1:11" ht="12.75" x14ac:dyDescent="0.2">
      <c r="A328" s="10">
        <f t="shared" si="18"/>
        <v>326</v>
      </c>
      <c r="B328" s="19">
        <v>46024</v>
      </c>
      <c r="C328" s="24" t="str">
        <f t="shared" si="19"/>
        <v>Friday</v>
      </c>
      <c r="D328" s="6" t="s">
        <v>255</v>
      </c>
      <c r="E328" s="6"/>
      <c r="F328" s="6" t="s">
        <v>441</v>
      </c>
      <c r="G328" s="18">
        <v>125</v>
      </c>
      <c r="H328" s="6" t="s">
        <v>22</v>
      </c>
      <c r="I328" s="6"/>
      <c r="K328"/>
    </row>
    <row r="329" spans="1:11" ht="12.75" x14ac:dyDescent="0.2">
      <c r="A329" s="10">
        <f t="shared" si="18"/>
        <v>327</v>
      </c>
      <c r="B329" s="19">
        <v>46024</v>
      </c>
      <c r="C329" s="24" t="str">
        <f t="shared" si="19"/>
        <v>Friday</v>
      </c>
      <c r="D329" s="6" t="s">
        <v>255</v>
      </c>
      <c r="E329" s="6"/>
      <c r="F329" s="6" t="s">
        <v>441</v>
      </c>
      <c r="G329" s="18">
        <v>-125</v>
      </c>
      <c r="H329" s="6" t="s">
        <v>110</v>
      </c>
      <c r="I329" s="6"/>
      <c r="K329"/>
    </row>
    <row r="330" spans="1:11" ht="12.75" x14ac:dyDescent="0.2">
      <c r="A330" s="10">
        <f t="shared" si="18"/>
        <v>328</v>
      </c>
      <c r="B330" s="19">
        <v>46024</v>
      </c>
      <c r="C330" s="24" t="str">
        <f t="shared" si="19"/>
        <v>Friday</v>
      </c>
      <c r="D330" s="6" t="s">
        <v>255</v>
      </c>
      <c r="E330" s="6"/>
      <c r="F330" s="6" t="s">
        <v>441</v>
      </c>
      <c r="G330" s="18">
        <v>151</v>
      </c>
      <c r="H330" s="6" t="s">
        <v>22</v>
      </c>
      <c r="I330" s="6"/>
      <c r="K330"/>
    </row>
    <row r="331" spans="1:11" ht="12.75" x14ac:dyDescent="0.2">
      <c r="A331" s="10">
        <f t="shared" si="18"/>
        <v>329</v>
      </c>
      <c r="B331" s="19">
        <v>46024</v>
      </c>
      <c r="C331" s="24" t="str">
        <f t="shared" si="19"/>
        <v>Friday</v>
      </c>
      <c r="D331" s="6" t="s">
        <v>255</v>
      </c>
      <c r="E331" s="6"/>
      <c r="F331" s="6" t="s">
        <v>441</v>
      </c>
      <c r="G331" s="18">
        <v>-151</v>
      </c>
      <c r="H331" s="6" t="s">
        <v>110</v>
      </c>
      <c r="I331" s="6"/>
      <c r="K331"/>
    </row>
    <row r="332" spans="1:11" ht="12.75" x14ac:dyDescent="0.2">
      <c r="A332" s="10">
        <f t="shared" si="18"/>
        <v>330</v>
      </c>
      <c r="B332" s="19">
        <v>46024</v>
      </c>
      <c r="C332" s="24" t="str">
        <f t="shared" si="19"/>
        <v>Friday</v>
      </c>
      <c r="D332" s="6" t="s">
        <v>214</v>
      </c>
      <c r="E332" s="6"/>
      <c r="F332" s="6" t="s">
        <v>442</v>
      </c>
      <c r="G332" s="18">
        <v>400</v>
      </c>
      <c r="H332" s="6" t="s">
        <v>110</v>
      </c>
      <c r="I332" s="6"/>
      <c r="K332"/>
    </row>
    <row r="333" spans="1:11" ht="12.75" x14ac:dyDescent="0.2">
      <c r="A333" s="10">
        <f t="shared" si="18"/>
        <v>331</v>
      </c>
      <c r="B333" s="19">
        <v>46024</v>
      </c>
      <c r="C333" s="24" t="str">
        <f t="shared" si="19"/>
        <v>Friday</v>
      </c>
      <c r="D333" s="6" t="s">
        <v>443</v>
      </c>
      <c r="E333" s="6"/>
      <c r="F333" s="6" t="s">
        <v>324</v>
      </c>
      <c r="G333" s="18">
        <v>227</v>
      </c>
      <c r="H333" s="6" t="s">
        <v>22</v>
      </c>
      <c r="I333" s="6"/>
      <c r="K333"/>
    </row>
    <row r="334" spans="1:11" ht="12.75" x14ac:dyDescent="0.2">
      <c r="A334" s="10">
        <f t="shared" si="18"/>
        <v>332</v>
      </c>
      <c r="B334" s="19">
        <v>46025</v>
      </c>
      <c r="C334" s="24" t="str">
        <f t="shared" si="19"/>
        <v>Saturday</v>
      </c>
      <c r="D334" s="6" t="s">
        <v>235</v>
      </c>
      <c r="E334" s="6"/>
      <c r="F334" s="6" t="s">
        <v>444</v>
      </c>
      <c r="G334" s="18">
        <v>457</v>
      </c>
      <c r="H334" s="6" t="s">
        <v>25</v>
      </c>
      <c r="I334" s="6"/>
      <c r="K334"/>
    </row>
    <row r="335" spans="1:11" ht="12.75" x14ac:dyDescent="0.2">
      <c r="A335" s="10">
        <f t="shared" si="18"/>
        <v>333</v>
      </c>
      <c r="B335" s="19">
        <v>46026</v>
      </c>
      <c r="C335" s="24" t="str">
        <f t="shared" si="19"/>
        <v>Sunday</v>
      </c>
      <c r="D335" s="6" t="s">
        <v>235</v>
      </c>
      <c r="E335" s="6"/>
      <c r="F335" s="6" t="s">
        <v>445</v>
      </c>
      <c r="G335" s="18">
        <v>950</v>
      </c>
      <c r="H335" s="6" t="s">
        <v>22</v>
      </c>
      <c r="I335" s="6"/>
      <c r="K335"/>
    </row>
    <row r="336" spans="1:11" ht="12.75" x14ac:dyDescent="0.2">
      <c r="A336" s="10">
        <f t="shared" si="18"/>
        <v>334</v>
      </c>
      <c r="B336" s="19">
        <v>46026</v>
      </c>
      <c r="C336" s="24" t="str">
        <f t="shared" si="19"/>
        <v>Sunday</v>
      </c>
      <c r="D336" s="6" t="s">
        <v>235</v>
      </c>
      <c r="E336" s="6"/>
      <c r="F336" s="6" t="s">
        <v>404</v>
      </c>
      <c r="G336" s="18">
        <v>200</v>
      </c>
      <c r="H336" s="6" t="s">
        <v>216</v>
      </c>
      <c r="I336" s="6"/>
      <c r="K336"/>
    </row>
    <row r="337" spans="1:11" ht="12.75" x14ac:dyDescent="0.2">
      <c r="A337" s="10">
        <f t="shared" si="18"/>
        <v>335</v>
      </c>
      <c r="B337" s="19">
        <v>46026</v>
      </c>
      <c r="C337" s="24" t="str">
        <f t="shared" si="19"/>
        <v>Sunday</v>
      </c>
      <c r="D337" s="6" t="s">
        <v>235</v>
      </c>
      <c r="E337" s="6"/>
      <c r="F337" s="6" t="s">
        <v>446</v>
      </c>
      <c r="G337" s="18">
        <v>112</v>
      </c>
      <c r="H337" s="6" t="s">
        <v>216</v>
      </c>
      <c r="I337" s="6"/>
      <c r="K337"/>
    </row>
    <row r="338" spans="1:11" ht="12.75" x14ac:dyDescent="0.2">
      <c r="A338" s="10">
        <f t="shared" si="18"/>
        <v>336</v>
      </c>
      <c r="B338" s="19">
        <v>46026</v>
      </c>
      <c r="C338" s="24" t="str">
        <f t="shared" si="19"/>
        <v>Sunday</v>
      </c>
      <c r="D338" s="6" t="s">
        <v>235</v>
      </c>
      <c r="E338" s="6"/>
      <c r="F338" s="6" t="s">
        <v>447</v>
      </c>
      <c r="G338" s="18">
        <v>65</v>
      </c>
      <c r="H338" s="6" t="s">
        <v>182</v>
      </c>
      <c r="I338" s="6"/>
      <c r="K338"/>
    </row>
    <row r="339" spans="1:11" ht="12.75" x14ac:dyDescent="0.2">
      <c r="A339" s="10">
        <f t="shared" si="18"/>
        <v>337</v>
      </c>
      <c r="B339" s="19">
        <v>46028</v>
      </c>
      <c r="C339" s="24" t="str">
        <f t="shared" si="19"/>
        <v>Tuesday</v>
      </c>
      <c r="D339" s="6" t="s">
        <v>214</v>
      </c>
      <c r="E339" s="6"/>
      <c r="F339" s="6" t="s">
        <v>378</v>
      </c>
      <c r="G339" s="18">
        <v>440</v>
      </c>
      <c r="H339" s="6" t="s">
        <v>22</v>
      </c>
      <c r="I339" s="6"/>
    </row>
    <row r="340" spans="1:11" ht="12.75" x14ac:dyDescent="0.2">
      <c r="A340" s="10">
        <f t="shared" si="18"/>
        <v>338</v>
      </c>
      <c r="B340" s="19">
        <v>46030</v>
      </c>
      <c r="C340" s="24" t="str">
        <f t="shared" si="19"/>
        <v>Thursday</v>
      </c>
      <c r="D340" s="6" t="s">
        <v>69</v>
      </c>
      <c r="E340" s="6"/>
      <c r="F340" s="6" t="s">
        <v>448</v>
      </c>
      <c r="G340" s="18">
        <v>500</v>
      </c>
      <c r="H340" s="6" t="s">
        <v>22</v>
      </c>
      <c r="I340" s="6"/>
    </row>
    <row r="341" spans="1:11" ht="12.75" x14ac:dyDescent="0.2">
      <c r="A341" s="10">
        <f t="shared" si="18"/>
        <v>339</v>
      </c>
      <c r="B341" s="19">
        <v>46030</v>
      </c>
      <c r="C341" s="24" t="str">
        <f t="shared" si="19"/>
        <v>Thursday</v>
      </c>
      <c r="D341" s="6" t="s">
        <v>69</v>
      </c>
      <c r="E341" s="6" t="s">
        <v>370</v>
      </c>
      <c r="F341" s="6" t="s">
        <v>371</v>
      </c>
      <c r="G341" s="18">
        <v>5000</v>
      </c>
      <c r="H341" s="6" t="s">
        <v>110</v>
      </c>
      <c r="I341" s="6"/>
    </row>
    <row r="342" spans="1:11" ht="12.75" x14ac:dyDescent="0.2">
      <c r="A342" s="10">
        <f t="shared" si="18"/>
        <v>340</v>
      </c>
      <c r="B342" s="19">
        <v>46030</v>
      </c>
      <c r="C342" s="24" t="str">
        <f t="shared" si="19"/>
        <v>Thursday</v>
      </c>
      <c r="D342" s="6" t="s">
        <v>214</v>
      </c>
      <c r="E342" s="6"/>
      <c r="F342" s="6" t="s">
        <v>449</v>
      </c>
      <c r="G342" s="72">
        <v>3830</v>
      </c>
      <c r="H342" s="6" t="s">
        <v>110</v>
      </c>
      <c r="I342" s="6"/>
    </row>
    <row r="343" spans="1:11" ht="12.75" x14ac:dyDescent="0.2">
      <c r="A343" s="10">
        <f t="shared" si="18"/>
        <v>341</v>
      </c>
      <c r="B343" s="19">
        <v>46030</v>
      </c>
      <c r="C343" s="24" t="str">
        <f t="shared" si="19"/>
        <v>Thursday</v>
      </c>
      <c r="D343" s="6" t="s">
        <v>69</v>
      </c>
      <c r="E343" s="6"/>
      <c r="F343" s="6" t="s">
        <v>448</v>
      </c>
      <c r="G343" s="72">
        <v>500</v>
      </c>
      <c r="H343" s="6" t="s">
        <v>110</v>
      </c>
      <c r="I343" s="6"/>
    </row>
    <row r="344" spans="1:11" ht="12.75" x14ac:dyDescent="0.2">
      <c r="A344" s="10">
        <f t="shared" si="18"/>
        <v>342</v>
      </c>
      <c r="B344" s="19">
        <v>46032</v>
      </c>
      <c r="C344" s="24" t="str">
        <f t="shared" si="19"/>
        <v>Saturday</v>
      </c>
      <c r="D344" s="6" t="s">
        <v>214</v>
      </c>
      <c r="E344" s="6"/>
      <c r="F344" s="6" t="s">
        <v>450</v>
      </c>
      <c r="G344" s="72">
        <v>1881.23</v>
      </c>
      <c r="H344" s="6" t="s">
        <v>110</v>
      </c>
      <c r="I344" s="6"/>
    </row>
    <row r="345" spans="1:11" ht="12.75" x14ac:dyDescent="0.2">
      <c r="A345" s="10">
        <f t="shared" si="18"/>
        <v>343</v>
      </c>
      <c r="B345" s="19">
        <v>46032</v>
      </c>
      <c r="C345" s="24" t="str">
        <f t="shared" si="19"/>
        <v>Saturday</v>
      </c>
      <c r="D345" s="6" t="s">
        <v>19</v>
      </c>
      <c r="E345" s="6"/>
      <c r="F345" s="6" t="s">
        <v>451</v>
      </c>
      <c r="G345" s="18">
        <v>25000</v>
      </c>
      <c r="H345" s="6" t="s">
        <v>110</v>
      </c>
      <c r="I345" s="6"/>
    </row>
    <row r="346" spans="1:11" ht="12.75" x14ac:dyDescent="0.2">
      <c r="A346" s="10">
        <f t="shared" si="18"/>
        <v>344</v>
      </c>
      <c r="B346" s="19">
        <v>46032</v>
      </c>
      <c r="C346" s="24" t="str">
        <f t="shared" si="19"/>
        <v>Saturday</v>
      </c>
      <c r="D346" s="6" t="s">
        <v>19</v>
      </c>
      <c r="E346" s="6"/>
      <c r="F346" s="6" t="s">
        <v>452</v>
      </c>
      <c r="G346" s="18">
        <v>30000</v>
      </c>
      <c r="H346" s="6" t="s">
        <v>110</v>
      </c>
      <c r="I346" s="6"/>
    </row>
    <row r="347" spans="1:11" ht="12.75" x14ac:dyDescent="0.2">
      <c r="A347" s="10">
        <f t="shared" si="18"/>
        <v>345</v>
      </c>
      <c r="B347" s="19">
        <v>46032</v>
      </c>
      <c r="C347" s="24" t="str">
        <f t="shared" si="19"/>
        <v>Saturday</v>
      </c>
      <c r="D347" s="6" t="s">
        <v>19</v>
      </c>
      <c r="E347" s="6"/>
      <c r="F347" s="6" t="s">
        <v>453</v>
      </c>
      <c r="G347" s="18">
        <v>10000</v>
      </c>
      <c r="H347" s="6" t="s">
        <v>110</v>
      </c>
      <c r="I347" s="6"/>
    </row>
    <row r="348" spans="1:11" ht="12.75" x14ac:dyDescent="0.2">
      <c r="A348" s="10">
        <f t="shared" si="18"/>
        <v>346</v>
      </c>
      <c r="B348" s="19">
        <v>46033</v>
      </c>
      <c r="C348" s="24" t="str">
        <f t="shared" si="19"/>
        <v>Sunday</v>
      </c>
      <c r="D348" s="6" t="s">
        <v>214</v>
      </c>
      <c r="E348" s="6"/>
      <c r="F348" s="6" t="s">
        <v>454</v>
      </c>
      <c r="G348" s="18">
        <v>57.97</v>
      </c>
      <c r="H348" s="6" t="s">
        <v>110</v>
      </c>
      <c r="I348" s="6"/>
    </row>
    <row r="349" spans="1:11" ht="12.75" x14ac:dyDescent="0.2">
      <c r="A349" s="10">
        <f t="shared" si="18"/>
        <v>347</v>
      </c>
      <c r="B349" s="19">
        <v>46034</v>
      </c>
      <c r="C349" s="24" t="str">
        <f t="shared" si="19"/>
        <v>Monday</v>
      </c>
      <c r="D349" s="6" t="s">
        <v>214</v>
      </c>
      <c r="E349" s="6"/>
      <c r="F349" s="6" t="s">
        <v>455</v>
      </c>
      <c r="G349" s="18">
        <v>550</v>
      </c>
      <c r="H349" s="6" t="s">
        <v>182</v>
      </c>
      <c r="I349" s="6"/>
    </row>
    <row r="350" spans="1:11" ht="12.75" x14ac:dyDescent="0.2">
      <c r="A350" s="10">
        <f t="shared" si="18"/>
        <v>348</v>
      </c>
      <c r="B350" s="19">
        <v>46034</v>
      </c>
      <c r="C350" s="24" t="str">
        <f t="shared" si="19"/>
        <v>Monday</v>
      </c>
      <c r="D350" s="6" t="s">
        <v>69</v>
      </c>
      <c r="E350" s="6" t="s">
        <v>370</v>
      </c>
      <c r="F350" s="6" t="s">
        <v>371</v>
      </c>
      <c r="G350" s="18">
        <v>5000</v>
      </c>
      <c r="H350" s="6" t="s">
        <v>110</v>
      </c>
      <c r="I350" s="6"/>
    </row>
    <row r="351" spans="1:11" ht="12.75" x14ac:dyDescent="0.2">
      <c r="A351" s="10">
        <f t="shared" si="18"/>
        <v>349</v>
      </c>
      <c r="B351" s="19">
        <v>46035</v>
      </c>
      <c r="C351" s="24" t="str">
        <f t="shared" si="19"/>
        <v>Tuesday</v>
      </c>
      <c r="D351" s="6" t="s">
        <v>69</v>
      </c>
      <c r="E351" s="6" t="s">
        <v>370</v>
      </c>
      <c r="F351" s="6" t="s">
        <v>371</v>
      </c>
      <c r="G351" s="18">
        <v>5000</v>
      </c>
      <c r="H351" s="6" t="s">
        <v>110</v>
      </c>
      <c r="I351" s="6"/>
    </row>
    <row r="352" spans="1:11" ht="12.75" x14ac:dyDescent="0.2">
      <c r="A352" s="10">
        <f t="shared" si="18"/>
        <v>350</v>
      </c>
      <c r="B352" s="19">
        <v>46035</v>
      </c>
      <c r="C352" s="24" t="str">
        <f t="shared" si="19"/>
        <v>Tuesday</v>
      </c>
      <c r="D352" s="6" t="s">
        <v>19</v>
      </c>
      <c r="E352" s="6"/>
      <c r="F352" s="6" t="s">
        <v>456</v>
      </c>
      <c r="G352" s="18">
        <v>10000</v>
      </c>
      <c r="H352" s="6" t="s">
        <v>110</v>
      </c>
      <c r="I352" s="6"/>
    </row>
    <row r="353" spans="1:9" ht="12.75" x14ac:dyDescent="0.2">
      <c r="A353" s="10">
        <f t="shared" si="18"/>
        <v>351</v>
      </c>
      <c r="B353" s="19">
        <v>46035</v>
      </c>
      <c r="C353" s="24" t="str">
        <f t="shared" si="19"/>
        <v>Tuesday</v>
      </c>
      <c r="D353" s="6" t="s">
        <v>19</v>
      </c>
      <c r="E353" s="6"/>
      <c r="F353" s="6" t="s">
        <v>457</v>
      </c>
      <c r="G353" s="18">
        <v>35005.9</v>
      </c>
      <c r="H353" s="6" t="s">
        <v>110</v>
      </c>
      <c r="I353" s="6"/>
    </row>
    <row r="354" spans="1:9" ht="12.75" x14ac:dyDescent="0.2">
      <c r="A354" s="10">
        <f t="shared" si="18"/>
        <v>352</v>
      </c>
      <c r="B354" s="19">
        <v>46035</v>
      </c>
      <c r="C354" s="24" t="str">
        <f t="shared" si="19"/>
        <v>Tuesday</v>
      </c>
      <c r="D354" s="6" t="s">
        <v>214</v>
      </c>
      <c r="E354" s="6"/>
      <c r="F354" s="6" t="s">
        <v>409</v>
      </c>
      <c r="G354" s="18">
        <v>1919.86</v>
      </c>
      <c r="H354" s="6" t="s">
        <v>110</v>
      </c>
      <c r="I354" s="6"/>
    </row>
    <row r="355" spans="1:9" ht="12.75" x14ac:dyDescent="0.2">
      <c r="A355" s="10">
        <f t="shared" si="18"/>
        <v>353</v>
      </c>
      <c r="B355" s="19">
        <v>46035</v>
      </c>
      <c r="C355" s="24" t="str">
        <f t="shared" si="19"/>
        <v>Tuesday</v>
      </c>
      <c r="D355" s="6" t="s">
        <v>69</v>
      </c>
      <c r="E355" s="6" t="s">
        <v>370</v>
      </c>
      <c r="F355" s="6" t="s">
        <v>371</v>
      </c>
      <c r="G355" s="18">
        <v>5000</v>
      </c>
      <c r="H355" s="6" t="s">
        <v>110</v>
      </c>
      <c r="I355" s="6"/>
    </row>
    <row r="356" spans="1:9" ht="12.75" x14ac:dyDescent="0.2">
      <c r="A356" s="10">
        <f t="shared" si="18"/>
        <v>354</v>
      </c>
      <c r="B356" s="19">
        <v>46036</v>
      </c>
      <c r="C356" s="24" t="str">
        <f t="shared" si="19"/>
        <v>Wednesday</v>
      </c>
      <c r="D356" s="6" t="s">
        <v>214</v>
      </c>
      <c r="E356" s="6"/>
      <c r="F356" s="6" t="s">
        <v>458</v>
      </c>
      <c r="G356" s="72">
        <v>177</v>
      </c>
      <c r="H356" s="6" t="s">
        <v>182</v>
      </c>
      <c r="I356" s="6"/>
    </row>
    <row r="357" spans="1:9" ht="12.75" x14ac:dyDescent="0.2">
      <c r="A357" s="10">
        <f t="shared" si="18"/>
        <v>355</v>
      </c>
      <c r="B357" s="19">
        <v>46036</v>
      </c>
      <c r="C357" s="24" t="str">
        <f t="shared" si="19"/>
        <v>Wednesday</v>
      </c>
      <c r="D357" s="6" t="s">
        <v>69</v>
      </c>
      <c r="E357" s="6"/>
      <c r="F357" s="6" t="s">
        <v>448</v>
      </c>
      <c r="G357" s="72">
        <v>500</v>
      </c>
      <c r="H357" s="6" t="s">
        <v>110</v>
      </c>
      <c r="I357" s="6"/>
    </row>
    <row r="358" spans="1:9" ht="12.75" x14ac:dyDescent="0.2">
      <c r="A358" s="10">
        <f t="shared" si="18"/>
        <v>356</v>
      </c>
      <c r="B358" s="19">
        <v>46037</v>
      </c>
      <c r="C358" s="24" t="str">
        <f t="shared" si="19"/>
        <v>Thursday</v>
      </c>
      <c r="D358" s="6" t="s">
        <v>255</v>
      </c>
      <c r="E358" s="6"/>
      <c r="F358" s="6" t="s">
        <v>459</v>
      </c>
      <c r="G358" s="72">
        <v>30000</v>
      </c>
      <c r="H358" s="6" t="s">
        <v>25</v>
      </c>
      <c r="I358" s="6"/>
    </row>
    <row r="359" spans="1:9" ht="12.75" x14ac:dyDescent="0.2">
      <c r="A359" s="10">
        <f t="shared" si="18"/>
        <v>357</v>
      </c>
      <c r="B359" s="19">
        <v>46037</v>
      </c>
      <c r="C359" s="24" t="str">
        <f t="shared" si="19"/>
        <v>Thursday</v>
      </c>
      <c r="D359" s="6" t="s">
        <v>255</v>
      </c>
      <c r="E359" s="6"/>
      <c r="F359" s="6" t="s">
        <v>460</v>
      </c>
      <c r="G359" s="72">
        <v>-30000</v>
      </c>
      <c r="H359" s="6" t="s">
        <v>110</v>
      </c>
      <c r="I359" s="6"/>
    </row>
    <row r="360" spans="1:9" ht="12.75" x14ac:dyDescent="0.2">
      <c r="A360" s="10">
        <f t="shared" si="18"/>
        <v>358</v>
      </c>
      <c r="B360" s="19">
        <v>46037</v>
      </c>
      <c r="C360" s="24" t="str">
        <f t="shared" si="19"/>
        <v>Thursday</v>
      </c>
      <c r="D360" s="6"/>
      <c r="E360" s="6"/>
      <c r="F360" s="6" t="s">
        <v>461</v>
      </c>
      <c r="G360" s="72">
        <v>1947</v>
      </c>
      <c r="H360" s="6" t="s">
        <v>110</v>
      </c>
      <c r="I360" s="6"/>
    </row>
    <row r="361" spans="1:9" ht="12.75" x14ac:dyDescent="0.2">
      <c r="A361" s="10">
        <f t="shared" si="18"/>
        <v>359</v>
      </c>
      <c r="B361" s="19">
        <v>46037</v>
      </c>
      <c r="C361" s="24" t="str">
        <f t="shared" si="19"/>
        <v>Thursday</v>
      </c>
      <c r="D361" s="6" t="s">
        <v>19</v>
      </c>
      <c r="E361" s="6"/>
      <c r="F361" s="6" t="s">
        <v>462</v>
      </c>
      <c r="G361" s="18">
        <v>45000</v>
      </c>
      <c r="H361" s="6" t="s">
        <v>110</v>
      </c>
      <c r="I361" s="6"/>
    </row>
    <row r="362" spans="1:9" ht="12.75" x14ac:dyDescent="0.2">
      <c r="A362" s="10">
        <f t="shared" si="18"/>
        <v>360</v>
      </c>
      <c r="B362" s="19">
        <v>46037</v>
      </c>
      <c r="C362" s="24" t="str">
        <f t="shared" si="19"/>
        <v>Thursday</v>
      </c>
      <c r="D362" s="6" t="s">
        <v>19</v>
      </c>
      <c r="E362" s="6"/>
      <c r="F362" s="6" t="s">
        <v>463</v>
      </c>
      <c r="G362" s="18">
        <v>20000</v>
      </c>
      <c r="H362" s="6" t="s">
        <v>110</v>
      </c>
      <c r="I362" s="6"/>
    </row>
    <row r="363" spans="1:9" ht="12.75" x14ac:dyDescent="0.2">
      <c r="A363" s="10">
        <f t="shared" si="18"/>
        <v>361</v>
      </c>
      <c r="B363" s="19">
        <v>46038</v>
      </c>
      <c r="C363" s="24" t="str">
        <f t="shared" si="19"/>
        <v>Friday</v>
      </c>
      <c r="D363" s="6" t="s">
        <v>69</v>
      </c>
      <c r="E363" s="6" t="s">
        <v>370</v>
      </c>
      <c r="F363" s="6" t="s">
        <v>371</v>
      </c>
      <c r="G363" s="72">
        <v>3000</v>
      </c>
      <c r="H363" s="6" t="s">
        <v>110</v>
      </c>
      <c r="I363" s="6"/>
    </row>
    <row r="364" spans="1:9" ht="12.75" x14ac:dyDescent="0.2">
      <c r="A364" s="10">
        <f t="shared" si="18"/>
        <v>362</v>
      </c>
      <c r="B364" s="19">
        <v>46039</v>
      </c>
      <c r="C364" s="24" t="str">
        <f t="shared" si="19"/>
        <v>Saturday</v>
      </c>
      <c r="D364" s="6"/>
      <c r="E364" s="6"/>
      <c r="F364" s="6" t="s">
        <v>464</v>
      </c>
      <c r="G364" s="18">
        <v>-1000</v>
      </c>
      <c r="H364" s="6" t="s">
        <v>110</v>
      </c>
      <c r="I364" s="6"/>
    </row>
    <row r="365" spans="1:9" ht="12.75" x14ac:dyDescent="0.2">
      <c r="A365" s="10">
        <f t="shared" si="18"/>
        <v>363</v>
      </c>
      <c r="B365" s="19">
        <v>46040</v>
      </c>
      <c r="C365" s="24" t="str">
        <f t="shared" si="19"/>
        <v>Sunday</v>
      </c>
      <c r="D365" s="6" t="s">
        <v>251</v>
      </c>
      <c r="E365" s="6"/>
      <c r="F365" s="6" t="s">
        <v>413</v>
      </c>
      <c r="G365" s="18">
        <v>150</v>
      </c>
      <c r="H365" s="6" t="s">
        <v>110</v>
      </c>
      <c r="I365" s="6"/>
    </row>
    <row r="366" spans="1:9" ht="12.75" x14ac:dyDescent="0.2">
      <c r="A366" s="10">
        <f t="shared" si="18"/>
        <v>364</v>
      </c>
      <c r="B366" s="19">
        <v>46040</v>
      </c>
      <c r="C366" s="24" t="str">
        <f t="shared" si="19"/>
        <v>Sunday</v>
      </c>
      <c r="D366" s="6" t="s">
        <v>251</v>
      </c>
      <c r="E366" s="6"/>
      <c r="F366" s="6" t="s">
        <v>465</v>
      </c>
      <c r="G366" s="18">
        <v>27</v>
      </c>
      <c r="H366" s="6" t="s">
        <v>110</v>
      </c>
      <c r="I366" s="6"/>
    </row>
    <row r="367" spans="1:9" ht="12.75" x14ac:dyDescent="0.2">
      <c r="A367" s="10">
        <f t="shared" si="18"/>
        <v>365</v>
      </c>
      <c r="B367" s="19">
        <v>46042</v>
      </c>
      <c r="C367" s="24" t="str">
        <f t="shared" si="19"/>
        <v>Tuesday</v>
      </c>
      <c r="D367" s="6" t="s">
        <v>214</v>
      </c>
      <c r="E367" s="6"/>
      <c r="F367" s="6" t="s">
        <v>466</v>
      </c>
      <c r="G367" s="18">
        <v>1400</v>
      </c>
      <c r="H367" s="6" t="s">
        <v>110</v>
      </c>
      <c r="I367" s="6"/>
    </row>
    <row r="368" spans="1:9" ht="12.75" x14ac:dyDescent="0.2">
      <c r="A368" s="10">
        <f t="shared" si="18"/>
        <v>366</v>
      </c>
      <c r="B368" s="19">
        <v>46042</v>
      </c>
      <c r="C368" s="24" t="str">
        <f t="shared" si="19"/>
        <v>Tuesday</v>
      </c>
      <c r="D368" s="6" t="s">
        <v>330</v>
      </c>
      <c r="E368" s="6"/>
      <c r="F368" s="6" t="s">
        <v>467</v>
      </c>
      <c r="G368" s="18">
        <v>750</v>
      </c>
      <c r="H368" s="6" t="s">
        <v>185</v>
      </c>
      <c r="I368" s="6"/>
    </row>
    <row r="369" spans="1:9" ht="12.75" x14ac:dyDescent="0.2">
      <c r="A369" s="10">
        <f t="shared" si="18"/>
        <v>367</v>
      </c>
      <c r="B369" s="19">
        <v>46042</v>
      </c>
      <c r="C369" s="24" t="str">
        <f t="shared" si="19"/>
        <v>Tuesday</v>
      </c>
      <c r="D369" s="6" t="s">
        <v>247</v>
      </c>
      <c r="E369" s="6"/>
      <c r="F369" s="6" t="s">
        <v>468</v>
      </c>
      <c r="G369" s="18">
        <v>-750</v>
      </c>
      <c r="H369" s="6" t="s">
        <v>22</v>
      </c>
      <c r="I369" s="6"/>
    </row>
    <row r="370" spans="1:9" ht="12.75" x14ac:dyDescent="0.2">
      <c r="A370" s="10">
        <f t="shared" si="18"/>
        <v>368</v>
      </c>
      <c r="B370" s="19">
        <v>46042</v>
      </c>
      <c r="C370" s="24" t="str">
        <f t="shared" si="19"/>
        <v>Tuesday</v>
      </c>
      <c r="D370" s="6" t="s">
        <v>255</v>
      </c>
      <c r="E370" s="6"/>
      <c r="F370" s="6" t="s">
        <v>469</v>
      </c>
      <c r="G370" s="18">
        <v>750</v>
      </c>
      <c r="H370" s="6" t="s">
        <v>22</v>
      </c>
      <c r="I370" s="6"/>
    </row>
    <row r="371" spans="1:9" ht="12.75" x14ac:dyDescent="0.2">
      <c r="A371" s="10">
        <f t="shared" si="18"/>
        <v>369</v>
      </c>
      <c r="B371" s="19">
        <v>46042</v>
      </c>
      <c r="C371" s="24" t="str">
        <f t="shared" si="19"/>
        <v>Tuesday</v>
      </c>
      <c r="D371" s="6" t="s">
        <v>247</v>
      </c>
      <c r="E371" s="6"/>
      <c r="F371" s="6" t="s">
        <v>470</v>
      </c>
      <c r="G371" s="18">
        <v>1000</v>
      </c>
      <c r="H371" s="6" t="s">
        <v>110</v>
      </c>
      <c r="I371" s="6"/>
    </row>
    <row r="372" spans="1:9" ht="12.75" x14ac:dyDescent="0.2">
      <c r="A372" s="10">
        <f t="shared" si="18"/>
        <v>370</v>
      </c>
      <c r="B372" s="19">
        <v>46042</v>
      </c>
      <c r="C372" s="24" t="str">
        <f t="shared" si="19"/>
        <v>Tuesday</v>
      </c>
      <c r="D372" s="6" t="s">
        <v>247</v>
      </c>
      <c r="E372" s="6"/>
      <c r="F372" s="6" t="s">
        <v>470</v>
      </c>
      <c r="G372" s="18">
        <v>-1000</v>
      </c>
      <c r="H372" s="6" t="s">
        <v>25</v>
      </c>
      <c r="I372" s="6"/>
    </row>
    <row r="373" spans="1:9" ht="12.75" x14ac:dyDescent="0.2">
      <c r="A373" s="10">
        <f t="shared" si="18"/>
        <v>371</v>
      </c>
      <c r="B373" s="19">
        <v>46043</v>
      </c>
      <c r="C373" s="24" t="str">
        <f t="shared" si="19"/>
        <v>Wednesday</v>
      </c>
      <c r="D373" s="6" t="s">
        <v>214</v>
      </c>
      <c r="E373" s="6"/>
      <c r="F373" s="6" t="s">
        <v>450</v>
      </c>
      <c r="G373" s="18">
        <v>1898.24</v>
      </c>
      <c r="H373" s="6" t="s">
        <v>110</v>
      </c>
      <c r="I373" s="6"/>
    </row>
    <row r="374" spans="1:9" ht="12.75" x14ac:dyDescent="0.2">
      <c r="A374" s="10">
        <f t="shared" si="18"/>
        <v>372</v>
      </c>
      <c r="B374" s="19">
        <v>46043</v>
      </c>
      <c r="C374" s="24" t="str">
        <f t="shared" si="19"/>
        <v>Wednesday</v>
      </c>
      <c r="D374" s="6" t="s">
        <v>214</v>
      </c>
      <c r="E374" s="6"/>
      <c r="F374" s="6" t="s">
        <v>471</v>
      </c>
      <c r="G374" s="18">
        <v>359.31</v>
      </c>
      <c r="H374" s="6" t="s">
        <v>110</v>
      </c>
      <c r="I374" s="6"/>
    </row>
    <row r="375" spans="1:9" ht="12.75" x14ac:dyDescent="0.2">
      <c r="A375" s="10">
        <f t="shared" si="18"/>
        <v>373</v>
      </c>
      <c r="B375" s="19">
        <v>46043</v>
      </c>
      <c r="C375" s="24" t="str">
        <f t="shared" si="19"/>
        <v>Wednesday</v>
      </c>
      <c r="D375" s="6" t="s">
        <v>251</v>
      </c>
      <c r="E375" s="6"/>
      <c r="F375" s="6" t="s">
        <v>472</v>
      </c>
      <c r="G375" s="18">
        <v>2.95</v>
      </c>
      <c r="H375" s="6" t="s">
        <v>110</v>
      </c>
      <c r="I375" s="6"/>
    </row>
    <row r="376" spans="1:9" ht="12.75" x14ac:dyDescent="0.2">
      <c r="A376" s="10">
        <f t="shared" ref="A376:A439" si="20">A375+1</f>
        <v>374</v>
      </c>
      <c r="B376" s="19">
        <v>46044</v>
      </c>
      <c r="C376" s="24" t="str">
        <f t="shared" ref="C376:C439" si="21">TEXT(B376,"dddd")</f>
        <v>Thursday</v>
      </c>
      <c r="D376" s="6" t="s">
        <v>214</v>
      </c>
      <c r="E376" s="6"/>
      <c r="F376" s="6" t="s">
        <v>473</v>
      </c>
      <c r="G376" s="18">
        <v>249</v>
      </c>
      <c r="H376" s="6" t="s">
        <v>110</v>
      </c>
      <c r="I376" s="6"/>
    </row>
    <row r="377" spans="1:9" ht="12.75" x14ac:dyDescent="0.2">
      <c r="A377" s="10">
        <f t="shared" si="20"/>
        <v>375</v>
      </c>
      <c r="B377" s="19">
        <v>46044</v>
      </c>
      <c r="C377" s="24" t="str">
        <f t="shared" si="21"/>
        <v>Thursday</v>
      </c>
      <c r="D377" s="6" t="s">
        <v>214</v>
      </c>
      <c r="E377" s="6"/>
      <c r="F377" s="6" t="s">
        <v>474</v>
      </c>
      <c r="G377" s="18">
        <v>249</v>
      </c>
      <c r="H377" s="6" t="s">
        <v>110</v>
      </c>
      <c r="I377" s="6"/>
    </row>
    <row r="378" spans="1:9" ht="12.75" x14ac:dyDescent="0.2">
      <c r="A378" s="10">
        <f t="shared" si="20"/>
        <v>376</v>
      </c>
      <c r="B378" s="19">
        <v>46044</v>
      </c>
      <c r="C378" s="24" t="str">
        <f t="shared" si="21"/>
        <v>Thursday</v>
      </c>
      <c r="D378" s="6" t="s">
        <v>218</v>
      </c>
      <c r="E378" s="6"/>
      <c r="F378" s="6" t="s">
        <v>475</v>
      </c>
      <c r="G378" s="18">
        <v>160</v>
      </c>
      <c r="H378" s="6" t="s">
        <v>216</v>
      </c>
      <c r="I378" s="6"/>
    </row>
    <row r="379" spans="1:9" ht="12.75" x14ac:dyDescent="0.2">
      <c r="A379" s="10">
        <f t="shared" si="20"/>
        <v>377</v>
      </c>
      <c r="B379" s="19">
        <v>46044</v>
      </c>
      <c r="C379" s="24" t="str">
        <f t="shared" si="21"/>
        <v>Thursday</v>
      </c>
      <c r="D379" s="6" t="s">
        <v>69</v>
      </c>
      <c r="E379" s="6"/>
      <c r="F379" s="6" t="s">
        <v>371</v>
      </c>
      <c r="G379" s="72">
        <v>5000</v>
      </c>
      <c r="H379" s="6" t="s">
        <v>110</v>
      </c>
      <c r="I379" s="6"/>
    </row>
    <row r="380" spans="1:9" ht="12.75" x14ac:dyDescent="0.2">
      <c r="A380" s="10">
        <f t="shared" si="20"/>
        <v>378</v>
      </c>
      <c r="B380" s="19">
        <v>46044</v>
      </c>
      <c r="C380" s="24" t="str">
        <f t="shared" si="21"/>
        <v>Thursday</v>
      </c>
      <c r="D380" s="6" t="s">
        <v>214</v>
      </c>
      <c r="E380" s="6"/>
      <c r="F380" s="6" t="s">
        <v>476</v>
      </c>
      <c r="G380" s="18">
        <v>85</v>
      </c>
      <c r="H380" s="6" t="s">
        <v>182</v>
      </c>
      <c r="I380" s="6"/>
    </row>
    <row r="381" spans="1:9" ht="12.75" x14ac:dyDescent="0.2">
      <c r="A381" s="10">
        <f t="shared" si="20"/>
        <v>379</v>
      </c>
      <c r="B381" s="19">
        <v>46046</v>
      </c>
      <c r="C381" s="24" t="str">
        <f t="shared" si="21"/>
        <v>Saturday</v>
      </c>
      <c r="D381" s="6" t="s">
        <v>19</v>
      </c>
      <c r="E381" s="6"/>
      <c r="F381" s="6" t="s">
        <v>477</v>
      </c>
      <c r="G381" s="18">
        <v>5000</v>
      </c>
      <c r="H381" s="6" t="s">
        <v>22</v>
      </c>
      <c r="I381" s="6"/>
    </row>
    <row r="382" spans="1:9" ht="12.75" x14ac:dyDescent="0.2">
      <c r="A382" s="10">
        <f t="shared" si="20"/>
        <v>380</v>
      </c>
      <c r="B382" s="19">
        <v>46049</v>
      </c>
      <c r="C382" s="24" t="str">
        <f t="shared" si="21"/>
        <v>Tuesday</v>
      </c>
      <c r="D382" s="6" t="s">
        <v>69</v>
      </c>
      <c r="E382" s="6"/>
      <c r="F382" s="6" t="s">
        <v>371</v>
      </c>
      <c r="G382" s="18">
        <v>5000</v>
      </c>
      <c r="H382" s="6" t="s">
        <v>22</v>
      </c>
      <c r="I382" s="6"/>
    </row>
    <row r="383" spans="1:9" ht="12.75" x14ac:dyDescent="0.2">
      <c r="A383" s="10">
        <f t="shared" si="20"/>
        <v>381</v>
      </c>
      <c r="B383" s="19">
        <v>46049</v>
      </c>
      <c r="C383" s="24" t="str">
        <f t="shared" si="21"/>
        <v>Tuesday</v>
      </c>
      <c r="D383" s="6" t="s">
        <v>214</v>
      </c>
      <c r="E383" s="6"/>
      <c r="F383" s="6" t="s">
        <v>478</v>
      </c>
      <c r="G383" s="18">
        <v>32000</v>
      </c>
      <c r="H383" s="6" t="s">
        <v>182</v>
      </c>
      <c r="I383" s="6"/>
    </row>
    <row r="384" spans="1:9" ht="12.75" x14ac:dyDescent="0.2">
      <c r="A384" s="10">
        <f t="shared" si="20"/>
        <v>382</v>
      </c>
      <c r="B384" s="19">
        <v>46049</v>
      </c>
      <c r="C384" s="24" t="str">
        <f t="shared" si="21"/>
        <v>Tuesday</v>
      </c>
      <c r="D384" s="6" t="s">
        <v>19</v>
      </c>
      <c r="E384" s="6"/>
      <c r="F384" t="s">
        <v>479</v>
      </c>
      <c r="G384" s="18">
        <v>10000</v>
      </c>
      <c r="H384" s="6" t="s">
        <v>110</v>
      </c>
      <c r="I384" s="6"/>
    </row>
    <row r="385" spans="1:11" ht="12.75" x14ac:dyDescent="0.2">
      <c r="A385" s="10">
        <f t="shared" si="20"/>
        <v>383</v>
      </c>
      <c r="B385" s="19">
        <v>46049</v>
      </c>
      <c r="C385" s="24" t="str">
        <f t="shared" si="21"/>
        <v>Tuesday</v>
      </c>
      <c r="D385" s="6" t="s">
        <v>255</v>
      </c>
      <c r="E385" s="6"/>
      <c r="F385" s="6" t="s">
        <v>480</v>
      </c>
      <c r="G385" s="18">
        <v>18000</v>
      </c>
      <c r="H385" s="6" t="s">
        <v>182</v>
      </c>
      <c r="I385" s="6"/>
    </row>
    <row r="386" spans="1:11" ht="12.75" x14ac:dyDescent="0.2">
      <c r="A386" s="10">
        <f t="shared" si="20"/>
        <v>384</v>
      </c>
      <c r="B386" s="19">
        <v>46049</v>
      </c>
      <c r="C386" s="24" t="str">
        <f t="shared" si="21"/>
        <v>Tuesday</v>
      </c>
      <c r="D386" s="6" t="s">
        <v>255</v>
      </c>
      <c r="E386" s="6"/>
      <c r="F386" s="6" t="s">
        <v>481</v>
      </c>
      <c r="G386" s="18">
        <v>-18000</v>
      </c>
      <c r="H386" s="6" t="s">
        <v>110</v>
      </c>
      <c r="I386" s="6"/>
    </row>
    <row r="387" spans="1:11" ht="12.75" x14ac:dyDescent="0.2">
      <c r="A387" s="10">
        <f t="shared" si="20"/>
        <v>385</v>
      </c>
      <c r="B387" s="19">
        <v>46049</v>
      </c>
      <c r="C387" s="24" t="str">
        <f t="shared" si="21"/>
        <v>Tuesday</v>
      </c>
      <c r="D387" s="6" t="s">
        <v>68</v>
      </c>
      <c r="E387" s="6"/>
      <c r="F387" s="6" t="s">
        <v>482</v>
      </c>
      <c r="G387" s="18">
        <v>73.470000000112094</v>
      </c>
      <c r="H387" s="6" t="s">
        <v>110</v>
      </c>
      <c r="I387" s="6"/>
    </row>
    <row r="388" spans="1:11" ht="12.75" x14ac:dyDescent="0.2">
      <c r="A388" s="10">
        <f t="shared" si="20"/>
        <v>386</v>
      </c>
      <c r="B388" s="19">
        <v>46049</v>
      </c>
      <c r="C388" s="24" t="str">
        <f t="shared" si="21"/>
        <v>Tuesday</v>
      </c>
      <c r="D388" s="6" t="s">
        <v>247</v>
      </c>
      <c r="E388" s="6"/>
      <c r="F388" s="6" t="s">
        <v>290</v>
      </c>
      <c r="G388" s="18">
        <v>-87</v>
      </c>
      <c r="H388" s="6" t="s">
        <v>182</v>
      </c>
      <c r="I388" s="6"/>
    </row>
    <row r="389" spans="1:11" ht="12.75" x14ac:dyDescent="0.2">
      <c r="A389" s="10">
        <f t="shared" si="20"/>
        <v>387</v>
      </c>
      <c r="B389" s="19">
        <v>46049</v>
      </c>
      <c r="C389" s="24" t="str">
        <f t="shared" si="21"/>
        <v>Tuesday</v>
      </c>
      <c r="D389" s="6" t="s">
        <v>247</v>
      </c>
      <c r="E389" s="6"/>
      <c r="F389" s="6" t="s">
        <v>290</v>
      </c>
      <c r="G389" s="18">
        <v>87</v>
      </c>
      <c r="H389" s="6" t="s">
        <v>129</v>
      </c>
      <c r="I389" s="6"/>
    </row>
    <row r="390" spans="1:11" ht="12.75" x14ac:dyDescent="0.2">
      <c r="A390" s="10">
        <f t="shared" si="20"/>
        <v>388</v>
      </c>
      <c r="B390" s="19">
        <v>46049</v>
      </c>
      <c r="C390" s="24" t="str">
        <f t="shared" si="21"/>
        <v>Tuesday</v>
      </c>
      <c r="D390" s="6" t="s">
        <v>251</v>
      </c>
      <c r="E390" s="6"/>
      <c r="F390" s="6" t="s">
        <v>483</v>
      </c>
      <c r="G390" s="18">
        <v>118</v>
      </c>
      <c r="H390" s="6" t="s">
        <v>185</v>
      </c>
      <c r="I390" s="6"/>
    </row>
    <row r="391" spans="1:11" ht="12.75" x14ac:dyDescent="0.2">
      <c r="A391" s="10">
        <f t="shared" si="20"/>
        <v>389</v>
      </c>
      <c r="B391" s="19">
        <v>46049</v>
      </c>
      <c r="C391" s="24" t="str">
        <f t="shared" si="21"/>
        <v>Tuesday</v>
      </c>
      <c r="D391" s="6" t="s">
        <v>247</v>
      </c>
      <c r="E391" s="6"/>
      <c r="F391" s="6" t="s">
        <v>290</v>
      </c>
      <c r="G391" s="18">
        <v>-3.3</v>
      </c>
      <c r="H391" s="6" t="s">
        <v>182</v>
      </c>
      <c r="I391" s="6"/>
    </row>
    <row r="392" spans="1:11" ht="12.75" x14ac:dyDescent="0.2">
      <c r="A392" s="10">
        <f t="shared" si="20"/>
        <v>390</v>
      </c>
      <c r="B392" s="19">
        <v>46049</v>
      </c>
      <c r="C392" s="24" t="str">
        <f t="shared" si="21"/>
        <v>Tuesday</v>
      </c>
      <c r="D392" s="6" t="s">
        <v>247</v>
      </c>
      <c r="E392" s="6"/>
      <c r="F392" s="6" t="s">
        <v>290</v>
      </c>
      <c r="G392" s="18">
        <v>3.3</v>
      </c>
      <c r="H392" s="6" t="s">
        <v>185</v>
      </c>
      <c r="I392" s="6"/>
      <c r="J392" s="30"/>
      <c r="K392" s="30"/>
    </row>
    <row r="393" spans="1:11" ht="12.75" x14ac:dyDescent="0.2">
      <c r="A393" s="10">
        <f t="shared" si="20"/>
        <v>391</v>
      </c>
      <c r="B393" s="19">
        <v>46049</v>
      </c>
      <c r="C393" s="24" t="str">
        <f t="shared" si="21"/>
        <v>Tuesday</v>
      </c>
      <c r="D393" s="6" t="s">
        <v>247</v>
      </c>
      <c r="E393" s="6"/>
      <c r="F393" s="6" t="s">
        <v>290</v>
      </c>
      <c r="G393" s="18">
        <v>-1518.44354166671</v>
      </c>
      <c r="H393" s="6" t="s">
        <v>182</v>
      </c>
      <c r="I393" s="6"/>
    </row>
    <row r="394" spans="1:11" ht="12.75" x14ac:dyDescent="0.2">
      <c r="A394" s="10">
        <f t="shared" si="20"/>
        <v>392</v>
      </c>
      <c r="B394" s="19">
        <v>46049</v>
      </c>
      <c r="C394" s="24" t="str">
        <f t="shared" si="21"/>
        <v>Tuesday</v>
      </c>
      <c r="D394" s="6" t="s">
        <v>247</v>
      </c>
      <c r="E394" s="6"/>
      <c r="F394" s="6" t="s">
        <v>290</v>
      </c>
      <c r="G394" s="18">
        <v>-6884.7235416666999</v>
      </c>
      <c r="H394" s="6" t="s">
        <v>22</v>
      </c>
      <c r="I394" s="6"/>
    </row>
    <row r="395" spans="1:11" ht="12.75" x14ac:dyDescent="0.2">
      <c r="A395" s="10">
        <f t="shared" si="20"/>
        <v>393</v>
      </c>
      <c r="B395" s="19">
        <v>46049</v>
      </c>
      <c r="C395" s="24" t="str">
        <f t="shared" si="21"/>
        <v>Tuesday</v>
      </c>
      <c r="D395" s="6" t="s">
        <v>247</v>
      </c>
      <c r="E395" s="6"/>
      <c r="F395" s="6" t="s">
        <v>290</v>
      </c>
      <c r="G395" s="18">
        <v>-687.74354166671401</v>
      </c>
      <c r="H395" s="6" t="s">
        <v>216</v>
      </c>
      <c r="I395" s="6"/>
    </row>
    <row r="396" spans="1:11" ht="12.75" x14ac:dyDescent="0.2">
      <c r="A396" s="10">
        <f t="shared" si="20"/>
        <v>394</v>
      </c>
      <c r="B396" s="19">
        <v>46049</v>
      </c>
      <c r="C396" s="24" t="str">
        <f t="shared" si="21"/>
        <v>Tuesday</v>
      </c>
      <c r="D396" s="6" t="s">
        <v>247</v>
      </c>
      <c r="E396" s="6"/>
      <c r="F396" s="6" t="s">
        <v>290</v>
      </c>
      <c r="G396" s="18">
        <v>-357.73937499982998</v>
      </c>
      <c r="H396" s="6" t="s">
        <v>25</v>
      </c>
      <c r="I396" s="6"/>
    </row>
    <row r="397" spans="1:11" ht="12.75" x14ac:dyDescent="0.2">
      <c r="A397" s="10">
        <f t="shared" si="20"/>
        <v>395</v>
      </c>
      <c r="B397" s="19">
        <v>46049</v>
      </c>
      <c r="C397" s="24" t="str">
        <f t="shared" si="21"/>
        <v>Tuesday</v>
      </c>
      <c r="D397" s="6" t="s">
        <v>247</v>
      </c>
      <c r="E397" s="6"/>
      <c r="F397" s="6" t="s">
        <v>290</v>
      </c>
      <c r="G397" s="18">
        <v>1518.4435416667141</v>
      </c>
      <c r="H397" s="6" t="s">
        <v>110</v>
      </c>
      <c r="I397" s="6"/>
    </row>
    <row r="398" spans="1:11" ht="12.75" x14ac:dyDescent="0.2">
      <c r="A398" s="10">
        <f t="shared" si="20"/>
        <v>396</v>
      </c>
      <c r="B398" s="19">
        <v>46049</v>
      </c>
      <c r="C398" s="24" t="str">
        <f t="shared" si="21"/>
        <v>Tuesday</v>
      </c>
      <c r="D398" s="6" t="s">
        <v>247</v>
      </c>
      <c r="E398" s="6"/>
      <c r="F398" s="6" t="s">
        <v>290</v>
      </c>
      <c r="G398" s="18">
        <v>6884.7235416666954</v>
      </c>
      <c r="H398" s="6" t="s">
        <v>110</v>
      </c>
      <c r="I398" s="6"/>
    </row>
    <row r="399" spans="1:11" ht="12.75" x14ac:dyDescent="0.2">
      <c r="A399" s="10">
        <f t="shared" si="20"/>
        <v>397</v>
      </c>
      <c r="B399" s="19">
        <v>46049</v>
      </c>
      <c r="C399" s="24" t="str">
        <f t="shared" si="21"/>
        <v>Tuesday</v>
      </c>
      <c r="D399" s="6" t="s">
        <v>247</v>
      </c>
      <c r="E399" s="6"/>
      <c r="F399" s="6" t="s">
        <v>290</v>
      </c>
      <c r="G399" s="18">
        <v>687.74354166671401</v>
      </c>
      <c r="H399" s="6" t="s">
        <v>110</v>
      </c>
      <c r="I399" s="6"/>
    </row>
    <row r="400" spans="1:11" ht="12.75" x14ac:dyDescent="0.2">
      <c r="A400" s="10">
        <f t="shared" si="20"/>
        <v>398</v>
      </c>
      <c r="B400" s="19">
        <v>46049</v>
      </c>
      <c r="C400" s="24" t="str">
        <f t="shared" si="21"/>
        <v>Tuesday</v>
      </c>
      <c r="D400" s="6" t="s">
        <v>247</v>
      </c>
      <c r="E400" s="6"/>
      <c r="F400" s="6" t="s">
        <v>290</v>
      </c>
      <c r="G400" s="18">
        <v>357.73937499983003</v>
      </c>
      <c r="H400" s="6" t="s">
        <v>110</v>
      </c>
      <c r="I400" s="6"/>
    </row>
    <row r="401" spans="1:10" ht="12.75" x14ac:dyDescent="0.2">
      <c r="A401" s="10">
        <f t="shared" si="20"/>
        <v>399</v>
      </c>
      <c r="B401" s="19">
        <v>46051</v>
      </c>
      <c r="C401" s="24" t="str">
        <f t="shared" si="21"/>
        <v>Thursday</v>
      </c>
      <c r="D401" s="6" t="s">
        <v>235</v>
      </c>
      <c r="E401" s="6"/>
      <c r="F401" s="6" t="s">
        <v>484</v>
      </c>
      <c r="G401" s="18">
        <v>3848</v>
      </c>
      <c r="H401" s="6" t="s">
        <v>22</v>
      </c>
      <c r="I401" s="6"/>
    </row>
    <row r="402" spans="1:10" ht="12.75" x14ac:dyDescent="0.2">
      <c r="A402" s="10">
        <f t="shared" si="20"/>
        <v>400</v>
      </c>
      <c r="B402" s="19">
        <v>46051</v>
      </c>
      <c r="C402" s="24" t="str">
        <f t="shared" si="21"/>
        <v>Thursday</v>
      </c>
      <c r="D402" s="6" t="s">
        <v>235</v>
      </c>
      <c r="E402" s="6"/>
      <c r="F402" s="6" t="s">
        <v>234</v>
      </c>
      <c r="G402" s="18">
        <v>2042</v>
      </c>
      <c r="H402" s="6" t="s">
        <v>22</v>
      </c>
      <c r="I402" s="6"/>
    </row>
    <row r="403" spans="1:10" ht="12.75" x14ac:dyDescent="0.2">
      <c r="A403" s="10">
        <f t="shared" si="20"/>
        <v>401</v>
      </c>
      <c r="B403" s="19">
        <v>46051</v>
      </c>
      <c r="C403" s="24" t="str">
        <f t="shared" si="21"/>
        <v>Thursday</v>
      </c>
      <c r="D403" s="6" t="s">
        <v>235</v>
      </c>
      <c r="E403" s="6"/>
      <c r="F403" s="6" t="s">
        <v>485</v>
      </c>
      <c r="G403" s="18">
        <v>345</v>
      </c>
      <c r="H403" s="6" t="s">
        <v>182</v>
      </c>
      <c r="I403" s="6"/>
    </row>
    <row r="404" spans="1:10" ht="12.75" x14ac:dyDescent="0.2">
      <c r="A404" s="10">
        <f t="shared" si="20"/>
        <v>402</v>
      </c>
      <c r="B404" s="19">
        <v>46051</v>
      </c>
      <c r="C404" s="24" t="str">
        <f t="shared" si="21"/>
        <v>Thursday</v>
      </c>
      <c r="D404" s="6" t="s">
        <v>213</v>
      </c>
      <c r="E404" s="6"/>
      <c r="F404" s="6" t="s">
        <v>486</v>
      </c>
      <c r="G404" s="18">
        <v>200350</v>
      </c>
      <c r="H404" s="6" t="s">
        <v>26</v>
      </c>
      <c r="I404" s="6"/>
    </row>
    <row r="405" spans="1:10" ht="12.75" x14ac:dyDescent="0.2">
      <c r="A405" s="10">
        <f t="shared" si="20"/>
        <v>403</v>
      </c>
      <c r="B405" s="19">
        <v>46051</v>
      </c>
      <c r="C405" s="24" t="str">
        <f t="shared" si="21"/>
        <v>Thursday</v>
      </c>
      <c r="D405" s="6" t="s">
        <v>217</v>
      </c>
      <c r="E405" s="6"/>
      <c r="F405" s="6" t="s">
        <v>487</v>
      </c>
      <c r="G405" s="18">
        <v>100150</v>
      </c>
      <c r="H405" s="6" t="s">
        <v>26</v>
      </c>
      <c r="I405" s="6"/>
    </row>
    <row r="406" spans="1:10" ht="12.75" x14ac:dyDescent="0.2">
      <c r="A406" s="10">
        <f t="shared" si="20"/>
        <v>404</v>
      </c>
      <c r="B406" s="19">
        <v>46051</v>
      </c>
      <c r="C406" s="24" t="str">
        <f t="shared" si="21"/>
        <v>Thursday</v>
      </c>
      <c r="D406" s="6" t="s">
        <v>213</v>
      </c>
      <c r="E406" s="6"/>
      <c r="F406" s="6" t="s">
        <v>488</v>
      </c>
      <c r="G406" s="18">
        <v>-200350</v>
      </c>
      <c r="H406" s="6" t="s">
        <v>129</v>
      </c>
      <c r="I406" s="6"/>
    </row>
    <row r="407" spans="1:10" ht="12.75" x14ac:dyDescent="0.2">
      <c r="A407" s="10">
        <f t="shared" si="20"/>
        <v>405</v>
      </c>
      <c r="B407" s="19">
        <v>46051</v>
      </c>
      <c r="C407" s="24" t="str">
        <f t="shared" si="21"/>
        <v>Thursday</v>
      </c>
      <c r="D407" s="6" t="s">
        <v>217</v>
      </c>
      <c r="E407" s="6"/>
      <c r="F407" s="6" t="s">
        <v>489</v>
      </c>
      <c r="G407" s="18">
        <v>-100150</v>
      </c>
      <c r="H407" s="6" t="s">
        <v>129</v>
      </c>
      <c r="I407" s="6"/>
    </row>
    <row r="408" spans="1:10" ht="12.75" x14ac:dyDescent="0.2">
      <c r="A408" s="10">
        <f t="shared" si="20"/>
        <v>406</v>
      </c>
      <c r="B408" s="19">
        <v>46052</v>
      </c>
      <c r="C408" s="24" t="str">
        <f t="shared" si="21"/>
        <v>Friday</v>
      </c>
      <c r="D408" s="6" t="s">
        <v>235</v>
      </c>
      <c r="E408" s="6"/>
      <c r="F408" s="6" t="s">
        <v>381</v>
      </c>
      <c r="G408" s="18">
        <v>250</v>
      </c>
      <c r="H408" s="6" t="s">
        <v>22</v>
      </c>
      <c r="I408" s="6"/>
    </row>
    <row r="409" spans="1:10" ht="12.75" x14ac:dyDescent="0.2">
      <c r="A409" s="10">
        <f t="shared" si="20"/>
        <v>407</v>
      </c>
      <c r="B409" s="19">
        <v>46052</v>
      </c>
      <c r="C409" s="24" t="str">
        <f t="shared" si="21"/>
        <v>Friday</v>
      </c>
      <c r="D409" s="6" t="s">
        <v>235</v>
      </c>
      <c r="E409" s="6"/>
      <c r="F409" s="6" t="s">
        <v>490</v>
      </c>
      <c r="G409" s="18">
        <v>477</v>
      </c>
      <c r="H409" s="6" t="s">
        <v>216</v>
      </c>
      <c r="I409" s="6"/>
    </row>
    <row r="410" spans="1:10" ht="12.75" x14ac:dyDescent="0.2">
      <c r="A410" s="10">
        <f t="shared" si="20"/>
        <v>408</v>
      </c>
      <c r="B410" s="19">
        <v>46052</v>
      </c>
      <c r="C410" s="24" t="str">
        <f t="shared" si="21"/>
        <v>Friday</v>
      </c>
      <c r="D410" s="6" t="s">
        <v>19</v>
      </c>
      <c r="E410" s="6"/>
      <c r="F410" s="6" t="s">
        <v>491</v>
      </c>
      <c r="G410" s="18">
        <v>36000</v>
      </c>
      <c r="H410" s="6" t="s">
        <v>129</v>
      </c>
      <c r="I410" s="6"/>
      <c r="J410" s="6"/>
    </row>
    <row r="411" spans="1:10" ht="12.75" x14ac:dyDescent="0.2">
      <c r="A411" s="10">
        <f t="shared" si="20"/>
        <v>409</v>
      </c>
      <c r="B411" s="19">
        <v>46053</v>
      </c>
      <c r="C411" s="24" t="str">
        <f t="shared" si="21"/>
        <v>Saturday</v>
      </c>
      <c r="D411" s="6" t="s">
        <v>235</v>
      </c>
      <c r="E411" s="6"/>
      <c r="F411" s="6" t="s">
        <v>492</v>
      </c>
      <c r="G411" s="18">
        <v>372.76</v>
      </c>
      <c r="H411" s="6" t="s">
        <v>22</v>
      </c>
      <c r="I411" s="6"/>
      <c r="J411" s="6"/>
    </row>
    <row r="412" spans="1:10" ht="12.75" x14ac:dyDescent="0.2">
      <c r="A412" s="10">
        <f t="shared" si="20"/>
        <v>410</v>
      </c>
      <c r="B412" s="19">
        <v>46053</v>
      </c>
      <c r="C412" s="24" t="str">
        <f t="shared" si="21"/>
        <v>Saturday</v>
      </c>
      <c r="D412" s="6" t="s">
        <v>214</v>
      </c>
      <c r="E412" s="6"/>
      <c r="F412" s="6" t="s">
        <v>493</v>
      </c>
      <c r="G412" s="18">
        <v>883.82</v>
      </c>
      <c r="H412" s="6" t="s">
        <v>182</v>
      </c>
      <c r="I412" s="6"/>
      <c r="J412" s="6"/>
    </row>
    <row r="413" spans="1:10" ht="12.75" x14ac:dyDescent="0.2">
      <c r="A413" s="10">
        <f t="shared" si="20"/>
        <v>411</v>
      </c>
      <c r="B413" s="19">
        <v>46055</v>
      </c>
      <c r="C413" s="24" t="str">
        <f t="shared" si="21"/>
        <v>Monday</v>
      </c>
      <c r="D413" s="6" t="s">
        <v>358</v>
      </c>
      <c r="E413" s="6"/>
      <c r="F413" s="6" t="s">
        <v>494</v>
      </c>
      <c r="G413" s="72">
        <v>7500</v>
      </c>
      <c r="H413" s="6" t="s">
        <v>22</v>
      </c>
      <c r="I413" s="6"/>
      <c r="J413" s="6"/>
    </row>
    <row r="414" spans="1:10" ht="12.75" x14ac:dyDescent="0.2">
      <c r="A414" s="10">
        <f t="shared" si="20"/>
        <v>412</v>
      </c>
      <c r="B414" s="19">
        <v>46055</v>
      </c>
      <c r="C414" s="24" t="str">
        <f t="shared" si="21"/>
        <v>Monday</v>
      </c>
      <c r="D414" s="6" t="s">
        <v>214</v>
      </c>
      <c r="E414" s="6"/>
      <c r="F414" s="6" t="s">
        <v>495</v>
      </c>
      <c r="G414" s="18">
        <v>376</v>
      </c>
      <c r="H414" s="6" t="s">
        <v>22</v>
      </c>
      <c r="I414" s="6"/>
      <c r="J414" s="6"/>
    </row>
    <row r="415" spans="1:10" ht="12.75" x14ac:dyDescent="0.2">
      <c r="A415" s="10">
        <f t="shared" si="20"/>
        <v>413</v>
      </c>
      <c r="B415" s="19">
        <v>46055</v>
      </c>
      <c r="C415" s="24" t="str">
        <f t="shared" si="21"/>
        <v>Monday</v>
      </c>
      <c r="D415" s="6" t="s">
        <v>214</v>
      </c>
      <c r="E415" s="6"/>
      <c r="F415" s="6" t="s">
        <v>496</v>
      </c>
      <c r="G415" s="18">
        <v>349</v>
      </c>
      <c r="H415" s="6" t="s">
        <v>182</v>
      </c>
      <c r="I415" s="6"/>
      <c r="J415" s="6"/>
    </row>
    <row r="416" spans="1:10" ht="12.75" x14ac:dyDescent="0.2">
      <c r="A416" s="10">
        <f t="shared" si="20"/>
        <v>414</v>
      </c>
      <c r="B416" s="19">
        <v>46055</v>
      </c>
      <c r="C416" s="24" t="str">
        <f t="shared" si="21"/>
        <v>Monday</v>
      </c>
      <c r="D416" s="6" t="s">
        <v>214</v>
      </c>
      <c r="E416" s="6"/>
      <c r="F416" s="6" t="s">
        <v>496</v>
      </c>
      <c r="G416" s="18">
        <v>349</v>
      </c>
      <c r="H416" s="6" t="s">
        <v>182</v>
      </c>
      <c r="I416" s="6"/>
      <c r="J416" s="6"/>
    </row>
    <row r="417" spans="1:10" ht="12.75" x14ac:dyDescent="0.2">
      <c r="A417" s="10">
        <f t="shared" si="20"/>
        <v>415</v>
      </c>
      <c r="B417" s="19">
        <v>46055</v>
      </c>
      <c r="C417" s="24" t="str">
        <f t="shared" si="21"/>
        <v>Monday</v>
      </c>
      <c r="D417" s="6" t="s">
        <v>214</v>
      </c>
      <c r="E417" s="6"/>
      <c r="F417" s="6" t="s">
        <v>497</v>
      </c>
      <c r="G417" s="18">
        <v>440</v>
      </c>
      <c r="H417" s="6" t="s">
        <v>182</v>
      </c>
      <c r="I417" s="6"/>
      <c r="J417" s="6"/>
    </row>
    <row r="418" spans="1:10" ht="12.75" x14ac:dyDescent="0.2">
      <c r="A418" s="10">
        <f t="shared" si="20"/>
        <v>416</v>
      </c>
      <c r="B418" s="19">
        <v>46055</v>
      </c>
      <c r="C418" s="24" t="str">
        <f t="shared" si="21"/>
        <v>Monday</v>
      </c>
      <c r="D418" s="6" t="s">
        <v>214</v>
      </c>
      <c r="E418" s="6"/>
      <c r="F418" s="6" t="s">
        <v>498</v>
      </c>
      <c r="G418" s="18">
        <v>4890</v>
      </c>
      <c r="H418" s="6" t="s">
        <v>129</v>
      </c>
      <c r="I418" s="6"/>
      <c r="J418" s="6"/>
    </row>
    <row r="419" spans="1:10" ht="12.75" x14ac:dyDescent="0.2">
      <c r="A419" s="10">
        <f t="shared" si="20"/>
        <v>417</v>
      </c>
      <c r="B419" s="19">
        <v>46055</v>
      </c>
      <c r="C419" s="24" t="str">
        <f t="shared" si="21"/>
        <v>Monday</v>
      </c>
      <c r="D419" s="6" t="s">
        <v>214</v>
      </c>
      <c r="E419" s="6"/>
      <c r="F419" s="6" t="s">
        <v>499</v>
      </c>
      <c r="G419" s="72">
        <v>125.6</v>
      </c>
      <c r="H419" s="6" t="s">
        <v>182</v>
      </c>
      <c r="I419" s="6"/>
      <c r="J419" s="6"/>
    </row>
    <row r="420" spans="1:10" ht="12.75" x14ac:dyDescent="0.2">
      <c r="A420" s="10">
        <f t="shared" si="20"/>
        <v>418</v>
      </c>
      <c r="B420" s="19">
        <v>46055</v>
      </c>
      <c r="C420" s="24" t="str">
        <f t="shared" si="21"/>
        <v>Monday</v>
      </c>
      <c r="D420" s="6" t="s">
        <v>247</v>
      </c>
      <c r="E420" s="6"/>
      <c r="F420" s="6" t="s">
        <v>500</v>
      </c>
      <c r="G420" s="72">
        <v>7500</v>
      </c>
      <c r="H420" s="6" t="s">
        <v>129</v>
      </c>
      <c r="I420" s="6"/>
      <c r="J420" s="6"/>
    </row>
    <row r="421" spans="1:10" ht="12.75" x14ac:dyDescent="0.2">
      <c r="A421" s="10">
        <f t="shared" si="20"/>
        <v>419</v>
      </c>
      <c r="B421" s="19">
        <v>46055</v>
      </c>
      <c r="C421" s="24" t="str">
        <f t="shared" si="21"/>
        <v>Monday</v>
      </c>
      <c r="D421" s="6" t="s">
        <v>247</v>
      </c>
      <c r="E421" s="6"/>
      <c r="F421" s="6" t="s">
        <v>501</v>
      </c>
      <c r="G421" s="72">
        <v>-7500</v>
      </c>
      <c r="H421" s="6" t="s">
        <v>22</v>
      </c>
      <c r="I421" s="6"/>
      <c r="J421" s="6"/>
    </row>
    <row r="422" spans="1:10" ht="12.75" x14ac:dyDescent="0.2">
      <c r="A422" s="10">
        <f t="shared" si="20"/>
        <v>420</v>
      </c>
      <c r="B422" s="19">
        <v>46056</v>
      </c>
      <c r="C422" s="24" t="str">
        <f t="shared" si="21"/>
        <v>Tuesday</v>
      </c>
      <c r="D422" s="6" t="s">
        <v>214</v>
      </c>
      <c r="E422" s="6"/>
      <c r="F422" s="6" t="s">
        <v>496</v>
      </c>
      <c r="G422" s="18">
        <v>349</v>
      </c>
      <c r="H422" s="6" t="s">
        <v>182</v>
      </c>
      <c r="I422" s="6"/>
      <c r="J422" s="6"/>
    </row>
    <row r="423" spans="1:10" ht="12.75" x14ac:dyDescent="0.2">
      <c r="A423" s="10">
        <f t="shared" si="20"/>
        <v>421</v>
      </c>
      <c r="B423" s="19">
        <v>46057</v>
      </c>
      <c r="C423" s="24" t="str">
        <f t="shared" si="21"/>
        <v>Wednesday</v>
      </c>
      <c r="D423" s="6" t="s">
        <v>214</v>
      </c>
      <c r="E423" s="6"/>
      <c r="F423" s="6" t="s">
        <v>502</v>
      </c>
      <c r="G423" s="18">
        <v>590</v>
      </c>
      <c r="H423" s="6" t="s">
        <v>182</v>
      </c>
      <c r="I423" s="6"/>
      <c r="J423" s="6"/>
    </row>
    <row r="424" spans="1:10" ht="12.75" x14ac:dyDescent="0.2">
      <c r="A424" s="10">
        <f t="shared" si="20"/>
        <v>422</v>
      </c>
      <c r="B424" s="19">
        <v>46058</v>
      </c>
      <c r="C424" s="24" t="str">
        <f t="shared" si="21"/>
        <v>Thursday</v>
      </c>
      <c r="D424" s="6" t="s">
        <v>69</v>
      </c>
      <c r="E424" s="6"/>
      <c r="F424" s="6" t="s">
        <v>503</v>
      </c>
      <c r="G424" s="18">
        <v>10000</v>
      </c>
      <c r="H424" s="6" t="s">
        <v>185</v>
      </c>
      <c r="I424" s="6"/>
      <c r="J424" s="6"/>
    </row>
    <row r="425" spans="1:10" ht="12.75" x14ac:dyDescent="0.2">
      <c r="A425" s="10">
        <f t="shared" si="20"/>
        <v>423</v>
      </c>
      <c r="B425" s="19">
        <v>46058</v>
      </c>
      <c r="C425" s="24" t="str">
        <f t="shared" si="21"/>
        <v>Thursday</v>
      </c>
      <c r="D425" s="6" t="s">
        <v>69</v>
      </c>
      <c r="E425" s="6"/>
      <c r="F425" s="6" t="s">
        <v>504</v>
      </c>
      <c r="G425" s="18">
        <v>10000</v>
      </c>
      <c r="H425" s="6" t="s">
        <v>185</v>
      </c>
      <c r="I425" s="6"/>
      <c r="J425" s="6"/>
    </row>
    <row r="426" spans="1:10" ht="12.75" x14ac:dyDescent="0.2">
      <c r="A426" s="10">
        <f t="shared" si="20"/>
        <v>424</v>
      </c>
      <c r="B426" s="19">
        <v>46058</v>
      </c>
      <c r="C426" s="24" t="str">
        <f t="shared" si="21"/>
        <v>Thursday</v>
      </c>
      <c r="D426" s="6" t="s">
        <v>69</v>
      </c>
      <c r="E426" s="6"/>
      <c r="F426" s="6" t="s">
        <v>371</v>
      </c>
      <c r="G426" s="18">
        <v>-10000</v>
      </c>
      <c r="H426" s="6" t="s">
        <v>22</v>
      </c>
      <c r="I426" s="6"/>
    </row>
    <row r="427" spans="1:10" ht="12.75" x14ac:dyDescent="0.2">
      <c r="A427" s="10">
        <f t="shared" si="20"/>
        <v>425</v>
      </c>
      <c r="B427" s="19">
        <v>46058</v>
      </c>
      <c r="C427" s="24" t="str">
        <f t="shared" si="21"/>
        <v>Thursday</v>
      </c>
      <c r="D427" s="6" t="s">
        <v>69</v>
      </c>
      <c r="E427" s="6"/>
      <c r="F427" s="6" t="s">
        <v>505</v>
      </c>
      <c r="G427" s="18">
        <v>-10000</v>
      </c>
      <c r="H427" s="6" t="s">
        <v>22</v>
      </c>
      <c r="I427" s="6"/>
    </row>
    <row r="428" spans="1:10" ht="12.75" x14ac:dyDescent="0.2">
      <c r="A428" s="10">
        <f t="shared" si="20"/>
        <v>426</v>
      </c>
      <c r="B428" s="19">
        <v>46058</v>
      </c>
      <c r="C428" s="24" t="str">
        <f t="shared" si="21"/>
        <v>Thursday</v>
      </c>
      <c r="D428" s="6" t="s">
        <v>69</v>
      </c>
      <c r="E428" s="6"/>
      <c r="F428" s="6" t="s">
        <v>371</v>
      </c>
      <c r="G428" s="18">
        <v>10000</v>
      </c>
      <c r="H428" s="6" t="s">
        <v>22</v>
      </c>
      <c r="I428" s="6"/>
    </row>
    <row r="429" spans="1:10" ht="12.75" x14ac:dyDescent="0.2">
      <c r="A429" s="10">
        <f t="shared" si="20"/>
        <v>427</v>
      </c>
      <c r="B429" s="19">
        <v>46058</v>
      </c>
      <c r="C429" s="24" t="str">
        <f t="shared" si="21"/>
        <v>Thursday</v>
      </c>
      <c r="D429" s="6" t="s">
        <v>69</v>
      </c>
      <c r="E429" s="6"/>
      <c r="F429" s="6" t="s">
        <v>505</v>
      </c>
      <c r="G429" s="18">
        <v>10000</v>
      </c>
      <c r="H429" s="6" t="s">
        <v>22</v>
      </c>
      <c r="I429" s="6"/>
    </row>
    <row r="430" spans="1:10" ht="12.75" x14ac:dyDescent="0.2">
      <c r="A430" s="10">
        <f t="shared" si="20"/>
        <v>428</v>
      </c>
      <c r="B430" s="19">
        <v>46058</v>
      </c>
      <c r="C430" s="24" t="str">
        <f t="shared" si="21"/>
        <v>Thursday</v>
      </c>
      <c r="D430" s="6" t="s">
        <v>218</v>
      </c>
      <c r="E430" s="6"/>
      <c r="F430" s="6" t="s">
        <v>506</v>
      </c>
      <c r="G430" s="18">
        <v>300</v>
      </c>
      <c r="H430" s="6" t="s">
        <v>22</v>
      </c>
      <c r="I430" s="6"/>
    </row>
    <row r="431" spans="1:10" ht="12.75" x14ac:dyDescent="0.2">
      <c r="A431" s="10">
        <f t="shared" si="20"/>
        <v>429</v>
      </c>
      <c r="B431" s="19">
        <v>46058</v>
      </c>
      <c r="C431" s="24" t="str">
        <f t="shared" si="21"/>
        <v>Thursday</v>
      </c>
      <c r="D431" s="6"/>
      <c r="E431" s="6"/>
      <c r="F431" s="6" t="s">
        <v>440</v>
      </c>
      <c r="G431" s="72">
        <v>5000</v>
      </c>
      <c r="H431" s="6" t="s">
        <v>185</v>
      </c>
      <c r="I431" s="6"/>
    </row>
    <row r="432" spans="1:10" ht="12.75" x14ac:dyDescent="0.2">
      <c r="A432" s="10">
        <f t="shared" si="20"/>
        <v>430</v>
      </c>
      <c r="B432" s="19">
        <v>46058</v>
      </c>
      <c r="C432" s="24" t="str">
        <f t="shared" si="21"/>
        <v>Thursday</v>
      </c>
      <c r="D432" s="6"/>
      <c r="E432" s="6"/>
      <c r="F432" s="6" t="s">
        <v>507</v>
      </c>
      <c r="G432" s="72">
        <v>-5000</v>
      </c>
      <c r="H432" s="6" t="s">
        <v>182</v>
      </c>
      <c r="I432" s="6"/>
    </row>
    <row r="433" spans="1:9" ht="12.75" x14ac:dyDescent="0.2">
      <c r="A433" s="10">
        <f t="shared" si="20"/>
        <v>431</v>
      </c>
      <c r="B433" s="19">
        <v>46058</v>
      </c>
      <c r="C433" s="24" t="str">
        <f t="shared" si="21"/>
        <v>Thursday</v>
      </c>
      <c r="D433" s="6"/>
      <c r="E433" s="6"/>
      <c r="F433" s="6" t="s">
        <v>440</v>
      </c>
      <c r="G433" s="72">
        <v>5000</v>
      </c>
      <c r="H433" s="6" t="s">
        <v>182</v>
      </c>
      <c r="I433" s="6"/>
    </row>
    <row r="434" spans="1:9" ht="12.75" x14ac:dyDescent="0.2">
      <c r="A434" s="10">
        <f t="shared" si="20"/>
        <v>432</v>
      </c>
      <c r="B434" s="19">
        <v>46059</v>
      </c>
      <c r="C434" s="24" t="str">
        <f t="shared" si="21"/>
        <v>Friday</v>
      </c>
      <c r="D434" s="6" t="s">
        <v>214</v>
      </c>
      <c r="E434" s="6"/>
      <c r="F434" s="6" t="s">
        <v>508</v>
      </c>
      <c r="G434" s="18">
        <v>350</v>
      </c>
      <c r="H434" s="6" t="s">
        <v>22</v>
      </c>
      <c r="I434" s="6"/>
    </row>
    <row r="435" spans="1:9" ht="12.75" x14ac:dyDescent="0.2">
      <c r="A435" s="10">
        <f t="shared" si="20"/>
        <v>433</v>
      </c>
      <c r="B435" s="19">
        <v>46060</v>
      </c>
      <c r="C435" s="24" t="str">
        <f t="shared" si="21"/>
        <v>Saturday</v>
      </c>
      <c r="D435" s="6" t="s">
        <v>214</v>
      </c>
      <c r="E435" s="6"/>
      <c r="F435" s="6" t="s">
        <v>509</v>
      </c>
      <c r="G435" s="18">
        <f>15*1.18</f>
        <v>17.7</v>
      </c>
      <c r="H435" s="6" t="s">
        <v>22</v>
      </c>
      <c r="I435" s="6"/>
    </row>
    <row r="436" spans="1:9" ht="12.75" x14ac:dyDescent="0.2">
      <c r="A436" s="10">
        <f t="shared" si="20"/>
        <v>434</v>
      </c>
      <c r="B436" s="19">
        <v>46060</v>
      </c>
      <c r="C436" s="24" t="str">
        <f t="shared" si="21"/>
        <v>Saturday</v>
      </c>
      <c r="D436" s="6" t="s">
        <v>214</v>
      </c>
      <c r="E436" s="6"/>
      <c r="F436" s="6" t="s">
        <v>510</v>
      </c>
      <c r="G436" s="18">
        <v>3300</v>
      </c>
      <c r="H436" s="6" t="s">
        <v>22</v>
      </c>
      <c r="I436" s="6"/>
    </row>
    <row r="437" spans="1:9" ht="12.75" x14ac:dyDescent="0.2">
      <c r="A437" s="10">
        <f t="shared" si="20"/>
        <v>435</v>
      </c>
      <c r="B437" s="19">
        <v>46060</v>
      </c>
      <c r="C437" s="24" t="str">
        <f t="shared" si="21"/>
        <v>Saturday</v>
      </c>
      <c r="D437" s="6" t="s">
        <v>214</v>
      </c>
      <c r="E437" s="6"/>
      <c r="F437" s="6" t="s">
        <v>511</v>
      </c>
      <c r="G437" s="18">
        <v>-3300</v>
      </c>
      <c r="H437" s="6" t="s">
        <v>22</v>
      </c>
      <c r="I437" s="6"/>
    </row>
    <row r="438" spans="1:9" ht="12.75" x14ac:dyDescent="0.2">
      <c r="A438" s="10">
        <f t="shared" si="20"/>
        <v>436</v>
      </c>
      <c r="B438" s="19">
        <v>46060</v>
      </c>
      <c r="C438" s="24" t="str">
        <f t="shared" si="21"/>
        <v>Saturday</v>
      </c>
      <c r="D438" s="6" t="s">
        <v>214</v>
      </c>
      <c r="E438" s="6"/>
      <c r="F438" s="6" t="s">
        <v>512</v>
      </c>
      <c r="G438" s="18">
        <v>3300</v>
      </c>
      <c r="H438" s="6" t="s">
        <v>185</v>
      </c>
      <c r="I438" s="6"/>
    </row>
    <row r="439" spans="1:9" ht="12.75" x14ac:dyDescent="0.2">
      <c r="A439" s="10">
        <f t="shared" si="20"/>
        <v>437</v>
      </c>
      <c r="B439" s="19">
        <v>46060</v>
      </c>
      <c r="C439" s="24" t="str">
        <f t="shared" si="21"/>
        <v>Saturday</v>
      </c>
      <c r="D439" s="6" t="s">
        <v>214</v>
      </c>
      <c r="E439" s="6"/>
      <c r="F439" s="6" t="s">
        <v>510</v>
      </c>
      <c r="G439" s="18">
        <v>900</v>
      </c>
      <c r="H439" s="6" t="s">
        <v>22</v>
      </c>
      <c r="I439" s="6"/>
    </row>
    <row r="440" spans="1:9" ht="12.75" x14ac:dyDescent="0.2">
      <c r="A440" s="10">
        <f t="shared" ref="A440:A503" si="22">A439+1</f>
        <v>438</v>
      </c>
      <c r="B440" s="19">
        <v>46060</v>
      </c>
      <c r="C440" s="24" t="str">
        <f t="shared" ref="C440:C503" si="23">TEXT(B440,"dddd")</f>
        <v>Saturday</v>
      </c>
      <c r="D440" s="6" t="s">
        <v>214</v>
      </c>
      <c r="E440" s="6"/>
      <c r="F440" s="6" t="s">
        <v>511</v>
      </c>
      <c r="G440" s="18">
        <v>-900</v>
      </c>
      <c r="H440" s="6" t="s">
        <v>22</v>
      </c>
      <c r="I440" s="6"/>
    </row>
    <row r="441" spans="1:9" ht="12.75" x14ac:dyDescent="0.2">
      <c r="A441" s="10">
        <f t="shared" si="22"/>
        <v>439</v>
      </c>
      <c r="B441" s="19">
        <v>46060</v>
      </c>
      <c r="C441" s="24" t="str">
        <f t="shared" si="23"/>
        <v>Saturday</v>
      </c>
      <c r="D441" s="6" t="s">
        <v>214</v>
      </c>
      <c r="E441" s="6"/>
      <c r="F441" s="6" t="s">
        <v>512</v>
      </c>
      <c r="G441" s="18">
        <v>900</v>
      </c>
      <c r="H441" s="6" t="s">
        <v>185</v>
      </c>
      <c r="I441" s="6"/>
    </row>
    <row r="442" spans="1:9" ht="12.75" x14ac:dyDescent="0.2">
      <c r="A442" s="10">
        <f t="shared" si="22"/>
        <v>440</v>
      </c>
      <c r="B442" s="19">
        <v>46060</v>
      </c>
      <c r="C442" s="24" t="str">
        <f t="shared" si="23"/>
        <v>Saturday</v>
      </c>
      <c r="D442" s="6" t="s">
        <v>214</v>
      </c>
      <c r="E442" s="6"/>
      <c r="F442" s="6" t="s">
        <v>512</v>
      </c>
      <c r="G442" s="18">
        <v>300</v>
      </c>
      <c r="H442" s="6" t="s">
        <v>22</v>
      </c>
      <c r="I442" s="6"/>
    </row>
    <row r="443" spans="1:9" ht="12.75" x14ac:dyDescent="0.2">
      <c r="A443" s="10">
        <f t="shared" si="22"/>
        <v>441</v>
      </c>
      <c r="B443" s="19">
        <v>46062</v>
      </c>
      <c r="C443" s="24" t="str">
        <f t="shared" si="23"/>
        <v>Monday</v>
      </c>
      <c r="D443" s="6" t="s">
        <v>255</v>
      </c>
      <c r="E443" s="6"/>
      <c r="F443" s="6" t="s">
        <v>513</v>
      </c>
      <c r="G443" s="18">
        <v>500</v>
      </c>
      <c r="H443" s="6" t="s">
        <v>22</v>
      </c>
      <c r="I443" s="6"/>
    </row>
    <row r="444" spans="1:9" ht="12.75" x14ac:dyDescent="0.2">
      <c r="A444" s="10">
        <f t="shared" si="22"/>
        <v>442</v>
      </c>
      <c r="B444" s="19">
        <v>46062</v>
      </c>
      <c r="C444" s="24" t="str">
        <f t="shared" si="23"/>
        <v>Monday</v>
      </c>
      <c r="D444" s="6" t="s">
        <v>255</v>
      </c>
      <c r="E444" s="6"/>
      <c r="F444" s="6" t="s">
        <v>513</v>
      </c>
      <c r="G444" s="18">
        <v>125</v>
      </c>
      <c r="H444" s="6" t="s">
        <v>22</v>
      </c>
      <c r="I444" s="6"/>
    </row>
    <row r="445" spans="1:9" ht="12.75" x14ac:dyDescent="0.2">
      <c r="A445" s="10">
        <f t="shared" si="22"/>
        <v>443</v>
      </c>
      <c r="B445" s="19">
        <v>46062</v>
      </c>
      <c r="C445" s="24" t="str">
        <f t="shared" si="23"/>
        <v>Monday</v>
      </c>
      <c r="D445" s="6" t="s">
        <v>255</v>
      </c>
      <c r="E445" s="6"/>
      <c r="F445" s="6" t="s">
        <v>513</v>
      </c>
      <c r="G445" s="18">
        <v>-500</v>
      </c>
      <c r="H445" s="6" t="s">
        <v>110</v>
      </c>
      <c r="I445" s="6"/>
    </row>
    <row r="446" spans="1:9" ht="12.75" x14ac:dyDescent="0.2">
      <c r="A446" s="10">
        <f t="shared" si="22"/>
        <v>444</v>
      </c>
      <c r="B446" s="19">
        <v>46062</v>
      </c>
      <c r="C446" s="24" t="str">
        <f t="shared" si="23"/>
        <v>Monday</v>
      </c>
      <c r="D446" s="6" t="s">
        <v>255</v>
      </c>
      <c r="E446" s="6"/>
      <c r="F446" s="6" t="s">
        <v>513</v>
      </c>
      <c r="G446" s="18">
        <v>-125</v>
      </c>
      <c r="H446" s="6" t="s">
        <v>110</v>
      </c>
      <c r="I446" s="6"/>
    </row>
    <row r="447" spans="1:9" ht="12.75" x14ac:dyDescent="0.2">
      <c r="A447" s="10">
        <f t="shared" si="22"/>
        <v>445</v>
      </c>
      <c r="B447" s="19">
        <v>46062</v>
      </c>
      <c r="C447" s="24" t="str">
        <f t="shared" si="23"/>
        <v>Monday</v>
      </c>
      <c r="D447" s="6"/>
      <c r="E447" s="6"/>
      <c r="F447" s="6" t="s">
        <v>514</v>
      </c>
      <c r="G447" s="18">
        <v>30500</v>
      </c>
      <c r="H447" s="6" t="s">
        <v>22</v>
      </c>
      <c r="I447" s="6"/>
    </row>
    <row r="448" spans="1:9" ht="12.75" x14ac:dyDescent="0.2">
      <c r="A448" s="10">
        <f t="shared" si="22"/>
        <v>446</v>
      </c>
      <c r="B448" s="19">
        <v>46063</v>
      </c>
      <c r="C448" s="24" t="str">
        <f t="shared" si="23"/>
        <v>Tuesday</v>
      </c>
      <c r="D448" s="6" t="s">
        <v>19</v>
      </c>
      <c r="E448" s="6"/>
      <c r="F448" s="6" t="s">
        <v>515</v>
      </c>
      <c r="G448" s="18">
        <v>10000</v>
      </c>
      <c r="H448" s="6" t="s">
        <v>185</v>
      </c>
      <c r="I448" s="6"/>
    </row>
    <row r="449" spans="1:9" ht="12.75" x14ac:dyDescent="0.2">
      <c r="A449" s="10">
        <f t="shared" si="22"/>
        <v>447</v>
      </c>
      <c r="B449" s="19">
        <v>46063</v>
      </c>
      <c r="C449" s="24" t="str">
        <f t="shared" si="23"/>
        <v>Tuesday</v>
      </c>
      <c r="D449" s="6" t="s">
        <v>19</v>
      </c>
      <c r="E449" s="6"/>
      <c r="F449" s="6" t="s">
        <v>516</v>
      </c>
      <c r="G449" s="18">
        <v>7500</v>
      </c>
      <c r="H449" s="6" t="s">
        <v>185</v>
      </c>
      <c r="I449" s="6"/>
    </row>
    <row r="450" spans="1:9" ht="12.75" x14ac:dyDescent="0.2">
      <c r="A450" s="10">
        <f t="shared" si="22"/>
        <v>448</v>
      </c>
      <c r="B450" s="19">
        <v>46063</v>
      </c>
      <c r="C450" s="24" t="str">
        <f t="shared" si="23"/>
        <v>Tuesday</v>
      </c>
      <c r="D450" s="6" t="s">
        <v>19</v>
      </c>
      <c r="E450" s="6"/>
      <c r="F450" s="6" t="s">
        <v>517</v>
      </c>
      <c r="G450" s="18">
        <v>8667</v>
      </c>
      <c r="H450" s="6" t="s">
        <v>185</v>
      </c>
      <c r="I450" s="6"/>
    </row>
    <row r="451" spans="1:9" ht="12.75" x14ac:dyDescent="0.2">
      <c r="A451" s="10">
        <f t="shared" si="22"/>
        <v>449</v>
      </c>
      <c r="B451" s="19">
        <v>46063</v>
      </c>
      <c r="C451" s="24" t="str">
        <f t="shared" si="23"/>
        <v>Tuesday</v>
      </c>
      <c r="D451" s="6" t="s">
        <v>19</v>
      </c>
      <c r="E451" s="6"/>
      <c r="F451" s="6" t="s">
        <v>518</v>
      </c>
      <c r="G451" s="18">
        <v>14167</v>
      </c>
      <c r="H451" s="6" t="s">
        <v>185</v>
      </c>
      <c r="I451" s="6"/>
    </row>
    <row r="452" spans="1:9" ht="12.75" x14ac:dyDescent="0.2">
      <c r="A452" s="10">
        <f t="shared" si="22"/>
        <v>450</v>
      </c>
      <c r="B452" s="19">
        <v>46063</v>
      </c>
      <c r="C452" s="24" t="str">
        <f t="shared" si="23"/>
        <v>Tuesday</v>
      </c>
      <c r="D452" s="6" t="s">
        <v>19</v>
      </c>
      <c r="E452" s="6"/>
      <c r="F452" s="6" t="s">
        <v>519</v>
      </c>
      <c r="G452" s="18">
        <v>25000</v>
      </c>
      <c r="H452" s="6" t="s">
        <v>185</v>
      </c>
      <c r="I452" s="6"/>
    </row>
    <row r="453" spans="1:9" ht="12.75" x14ac:dyDescent="0.2">
      <c r="A453" s="10">
        <f t="shared" si="22"/>
        <v>451</v>
      </c>
      <c r="B453" s="19">
        <v>46063</v>
      </c>
      <c r="C453" s="24" t="str">
        <f t="shared" si="23"/>
        <v>Tuesday</v>
      </c>
      <c r="D453" s="6" t="s">
        <v>19</v>
      </c>
      <c r="E453" s="6"/>
      <c r="F453" s="6" t="s">
        <v>520</v>
      </c>
      <c r="G453" s="18">
        <v>30000</v>
      </c>
      <c r="H453" s="6" t="s">
        <v>185</v>
      </c>
      <c r="I453" s="6"/>
    </row>
    <row r="454" spans="1:9" ht="12.75" x14ac:dyDescent="0.2">
      <c r="A454" s="10">
        <f t="shared" si="22"/>
        <v>452</v>
      </c>
      <c r="B454" s="19">
        <v>46063</v>
      </c>
      <c r="C454" s="24" t="str">
        <f t="shared" si="23"/>
        <v>Tuesday</v>
      </c>
      <c r="D454" s="6" t="s">
        <v>19</v>
      </c>
      <c r="E454" s="6"/>
      <c r="F454" s="6" t="s">
        <v>763</v>
      </c>
      <c r="G454" s="72">
        <v>25000</v>
      </c>
      <c r="H454" s="6" t="s">
        <v>129</v>
      </c>
      <c r="I454" s="6"/>
    </row>
    <row r="455" spans="1:9" ht="12.75" x14ac:dyDescent="0.2">
      <c r="A455" s="10">
        <f t="shared" si="22"/>
        <v>453</v>
      </c>
      <c r="B455" s="19">
        <v>46063</v>
      </c>
      <c r="C455" s="24" t="str">
        <f t="shared" si="23"/>
        <v>Tuesday</v>
      </c>
      <c r="D455" s="6" t="s">
        <v>19</v>
      </c>
      <c r="E455" s="6"/>
      <c r="F455" s="6" t="s">
        <v>764</v>
      </c>
      <c r="G455" s="72">
        <v>25000</v>
      </c>
      <c r="H455" s="6" t="s">
        <v>129</v>
      </c>
      <c r="I455" s="6"/>
    </row>
    <row r="456" spans="1:9" ht="12.75" x14ac:dyDescent="0.2">
      <c r="A456" s="10">
        <f t="shared" si="22"/>
        <v>454</v>
      </c>
      <c r="B456" s="19">
        <v>46063</v>
      </c>
      <c r="C456" s="24" t="str">
        <f t="shared" si="23"/>
        <v>Tuesday</v>
      </c>
      <c r="D456" s="6" t="s">
        <v>19</v>
      </c>
      <c r="E456" s="6"/>
      <c r="F456" s="6" t="s">
        <v>765</v>
      </c>
      <c r="G456" s="72">
        <v>25000</v>
      </c>
      <c r="H456" s="6" t="s">
        <v>129</v>
      </c>
      <c r="I456" s="6"/>
    </row>
    <row r="457" spans="1:9" ht="12.75" x14ac:dyDescent="0.2">
      <c r="A457" s="10">
        <f t="shared" si="22"/>
        <v>455</v>
      </c>
      <c r="B457" s="19">
        <v>46063</v>
      </c>
      <c r="C457" s="24" t="str">
        <f t="shared" si="23"/>
        <v>Tuesday</v>
      </c>
      <c r="D457" s="6" t="s">
        <v>19</v>
      </c>
      <c r="E457" s="6"/>
      <c r="F457" s="6" t="s">
        <v>766</v>
      </c>
      <c r="G457" s="72">
        <v>25000</v>
      </c>
      <c r="H457" s="6" t="s">
        <v>129</v>
      </c>
      <c r="I457" s="6"/>
    </row>
    <row r="458" spans="1:9" ht="12.75" x14ac:dyDescent="0.2">
      <c r="A458" s="10">
        <f t="shared" si="22"/>
        <v>456</v>
      </c>
      <c r="B458" s="19">
        <v>46063</v>
      </c>
      <c r="C458" s="24" t="str">
        <f t="shared" si="23"/>
        <v>Tuesday</v>
      </c>
      <c r="D458" s="6"/>
      <c r="E458" s="6"/>
      <c r="F458" s="6" t="s">
        <v>525</v>
      </c>
      <c r="G458" s="18">
        <v>37500</v>
      </c>
      <c r="H458" s="6" t="s">
        <v>185</v>
      </c>
      <c r="I458" s="6"/>
    </row>
    <row r="459" spans="1:9" ht="12.75" x14ac:dyDescent="0.2">
      <c r="A459" s="10">
        <f t="shared" si="22"/>
        <v>457</v>
      </c>
      <c r="B459" s="19">
        <v>46063</v>
      </c>
      <c r="C459" s="24" t="str">
        <f t="shared" si="23"/>
        <v>Tuesday</v>
      </c>
      <c r="D459" s="6"/>
      <c r="E459" s="6"/>
      <c r="F459" s="6" t="s">
        <v>526</v>
      </c>
      <c r="G459" s="18">
        <v>40000</v>
      </c>
      <c r="H459" s="6" t="s">
        <v>185</v>
      </c>
      <c r="I459" s="6"/>
    </row>
    <row r="460" spans="1:9" ht="12.75" x14ac:dyDescent="0.2">
      <c r="A460" s="10">
        <f t="shared" si="22"/>
        <v>458</v>
      </c>
      <c r="B460" s="19">
        <v>46063</v>
      </c>
      <c r="C460" s="24" t="str">
        <f t="shared" si="23"/>
        <v>Tuesday</v>
      </c>
      <c r="D460" s="6"/>
      <c r="E460" s="6"/>
      <c r="F460" s="6" t="s">
        <v>527</v>
      </c>
      <c r="G460" s="72">
        <v>30000</v>
      </c>
      <c r="H460" s="6" t="s">
        <v>22</v>
      </c>
      <c r="I460" s="6"/>
    </row>
    <row r="461" spans="1:9" ht="12.75" x14ac:dyDescent="0.2">
      <c r="A461" s="10">
        <f t="shared" si="22"/>
        <v>459</v>
      </c>
      <c r="B461" s="19">
        <v>46063</v>
      </c>
      <c r="C461" s="24" t="str">
        <f t="shared" si="23"/>
        <v>Tuesday</v>
      </c>
      <c r="D461" s="6"/>
      <c r="E461" s="6"/>
      <c r="F461" s="6" t="s">
        <v>527</v>
      </c>
      <c r="G461" s="72">
        <v>45000</v>
      </c>
      <c r="H461" s="6" t="s">
        <v>22</v>
      </c>
      <c r="I461" s="6"/>
    </row>
    <row r="462" spans="1:9" ht="12.75" x14ac:dyDescent="0.2">
      <c r="A462" s="10">
        <f t="shared" si="22"/>
        <v>460</v>
      </c>
      <c r="B462" s="19">
        <v>46063</v>
      </c>
      <c r="C462" s="24" t="str">
        <f t="shared" si="23"/>
        <v>Tuesday</v>
      </c>
      <c r="D462" s="6"/>
      <c r="E462" s="6"/>
      <c r="F462" s="6" t="s">
        <v>528</v>
      </c>
      <c r="G462" s="72">
        <v>-30000</v>
      </c>
      <c r="H462" s="6" t="s">
        <v>185</v>
      </c>
      <c r="I462" s="6"/>
    </row>
    <row r="463" spans="1:9" ht="12.75" x14ac:dyDescent="0.2">
      <c r="A463" s="10">
        <f t="shared" si="22"/>
        <v>461</v>
      </c>
      <c r="B463" s="19">
        <v>46063</v>
      </c>
      <c r="C463" s="24" t="str">
        <f t="shared" si="23"/>
        <v>Tuesday</v>
      </c>
      <c r="D463" s="6"/>
      <c r="E463" s="6"/>
      <c r="F463" s="6" t="s">
        <v>528</v>
      </c>
      <c r="G463" s="72">
        <v>-45000</v>
      </c>
      <c r="H463" s="6" t="s">
        <v>185</v>
      </c>
      <c r="I463" s="6"/>
    </row>
    <row r="464" spans="1:9" ht="12.75" x14ac:dyDescent="0.2">
      <c r="A464" s="10">
        <f t="shared" si="22"/>
        <v>462</v>
      </c>
      <c r="B464" s="19">
        <v>46065</v>
      </c>
      <c r="C464" s="24" t="str">
        <f t="shared" si="23"/>
        <v>Thursday</v>
      </c>
      <c r="D464" s="6" t="s">
        <v>19</v>
      </c>
      <c r="E464" s="6"/>
      <c r="F464" s="6" t="s">
        <v>529</v>
      </c>
      <c r="G464" s="72">
        <v>25000</v>
      </c>
      <c r="H464" s="6"/>
      <c r="I464" s="6"/>
    </row>
    <row r="465" spans="1:9" ht="12.75" x14ac:dyDescent="0.2">
      <c r="A465" s="10">
        <f t="shared" si="22"/>
        <v>463</v>
      </c>
      <c r="B465" s="19">
        <v>46065</v>
      </c>
      <c r="C465" s="24" t="str">
        <f t="shared" si="23"/>
        <v>Thursday</v>
      </c>
      <c r="D465" s="6"/>
      <c r="E465" s="6"/>
      <c r="F465" s="6" t="s">
        <v>530</v>
      </c>
      <c r="G465" s="72">
        <v>-5000</v>
      </c>
      <c r="H465" s="6" t="s">
        <v>22</v>
      </c>
      <c r="I465" s="6"/>
    </row>
    <row r="466" spans="1:9" ht="12.75" x14ac:dyDescent="0.2">
      <c r="A466" s="10">
        <f t="shared" si="22"/>
        <v>464</v>
      </c>
      <c r="B466" s="19">
        <v>46065</v>
      </c>
      <c r="C466" s="24" t="str">
        <f t="shared" si="23"/>
        <v>Thursday</v>
      </c>
      <c r="D466" s="6" t="s">
        <v>214</v>
      </c>
      <c r="E466" s="6"/>
      <c r="F466" s="6" t="s">
        <v>531</v>
      </c>
      <c r="G466" s="72">
        <v>4000</v>
      </c>
      <c r="H466" s="6" t="s">
        <v>129</v>
      </c>
      <c r="I466" s="6"/>
    </row>
    <row r="467" spans="1:9" ht="12.75" x14ac:dyDescent="0.2">
      <c r="A467" s="10">
        <f t="shared" si="22"/>
        <v>465</v>
      </c>
      <c r="B467" s="19">
        <v>46066</v>
      </c>
      <c r="C467" s="24" t="str">
        <f t="shared" si="23"/>
        <v>Friday</v>
      </c>
      <c r="D467" s="6" t="s">
        <v>247</v>
      </c>
      <c r="E467" s="6"/>
      <c r="F467" s="6" t="s">
        <v>503</v>
      </c>
      <c r="G467" s="18">
        <v>20000</v>
      </c>
      <c r="H467" s="6" t="s">
        <v>185</v>
      </c>
      <c r="I467" s="6"/>
    </row>
    <row r="468" spans="1:9" ht="12.75" x14ac:dyDescent="0.2">
      <c r="A468" s="10">
        <f t="shared" si="22"/>
        <v>466</v>
      </c>
      <c r="B468" s="19">
        <v>46066</v>
      </c>
      <c r="C468" s="24" t="str">
        <f t="shared" si="23"/>
        <v>Friday</v>
      </c>
      <c r="D468" s="6" t="s">
        <v>247</v>
      </c>
      <c r="E468" s="6"/>
      <c r="F468" s="6" t="s">
        <v>532</v>
      </c>
      <c r="G468" s="18">
        <v>-20000</v>
      </c>
      <c r="H468" s="6" t="s">
        <v>22</v>
      </c>
      <c r="I468" s="6"/>
    </row>
    <row r="469" spans="1:9" ht="12.75" x14ac:dyDescent="0.2">
      <c r="A469" s="10">
        <f t="shared" si="22"/>
        <v>467</v>
      </c>
      <c r="B469" s="19">
        <v>46066</v>
      </c>
      <c r="C469" s="24" t="str">
        <f t="shared" si="23"/>
        <v>Friday</v>
      </c>
      <c r="D469" s="6" t="s">
        <v>69</v>
      </c>
      <c r="E469" s="6"/>
      <c r="F469" s="6" t="s">
        <v>371</v>
      </c>
      <c r="G469" s="18">
        <v>20000</v>
      </c>
      <c r="H469" s="6" t="s">
        <v>22</v>
      </c>
      <c r="I469" s="6"/>
    </row>
    <row r="470" spans="1:9" ht="12.75" x14ac:dyDescent="0.2">
      <c r="A470" s="10">
        <f t="shared" si="22"/>
        <v>468</v>
      </c>
      <c r="B470" s="19">
        <v>46066</v>
      </c>
      <c r="C470" s="24" t="str">
        <f t="shared" si="23"/>
        <v>Friday</v>
      </c>
      <c r="D470" s="6"/>
      <c r="E470" s="6"/>
      <c r="F470" s="6" t="s">
        <v>533</v>
      </c>
      <c r="G470" s="18">
        <v>50000</v>
      </c>
      <c r="H470" s="6" t="s">
        <v>182</v>
      </c>
      <c r="I470" s="6"/>
    </row>
    <row r="471" spans="1:9" ht="12.75" x14ac:dyDescent="0.2">
      <c r="A471" s="10">
        <f t="shared" si="22"/>
        <v>469</v>
      </c>
      <c r="B471" s="19">
        <v>46066</v>
      </c>
      <c r="C471" s="24" t="str">
        <f t="shared" si="23"/>
        <v>Friday</v>
      </c>
      <c r="D471" s="6"/>
      <c r="E471" s="6"/>
      <c r="F471" s="6" t="s">
        <v>534</v>
      </c>
      <c r="G471" s="18">
        <v>-50000</v>
      </c>
      <c r="H471" s="6" t="s">
        <v>185</v>
      </c>
      <c r="I471" s="6"/>
    </row>
    <row r="472" spans="1:9" ht="12.75" x14ac:dyDescent="0.2">
      <c r="A472" s="10">
        <f t="shared" si="22"/>
        <v>470</v>
      </c>
      <c r="B472" s="19">
        <v>46066</v>
      </c>
      <c r="C472" s="24" t="str">
        <f t="shared" si="23"/>
        <v>Friday</v>
      </c>
      <c r="D472" s="6" t="s">
        <v>214</v>
      </c>
      <c r="E472" s="6"/>
      <c r="F472" s="6" t="s">
        <v>535</v>
      </c>
      <c r="G472" s="18">
        <v>1400</v>
      </c>
      <c r="H472" s="6" t="s">
        <v>185</v>
      </c>
      <c r="I472" s="6"/>
    </row>
    <row r="473" spans="1:9" ht="12.75" x14ac:dyDescent="0.2">
      <c r="A473" s="10">
        <f t="shared" si="22"/>
        <v>471</v>
      </c>
      <c r="B473" s="19">
        <v>46069</v>
      </c>
      <c r="C473" s="24" t="str">
        <f t="shared" si="23"/>
        <v>Monday</v>
      </c>
      <c r="D473" s="6" t="s">
        <v>214</v>
      </c>
      <c r="E473" s="6"/>
      <c r="F473" s="6" t="s">
        <v>536</v>
      </c>
      <c r="G473" s="18">
        <v>1000</v>
      </c>
      <c r="H473" s="6" t="s">
        <v>22</v>
      </c>
      <c r="I473" s="6"/>
    </row>
    <row r="474" spans="1:9" ht="12.75" x14ac:dyDescent="0.2">
      <c r="A474" s="10">
        <f t="shared" si="22"/>
        <v>472</v>
      </c>
      <c r="B474" s="19">
        <v>46069</v>
      </c>
      <c r="C474" s="24" t="str">
        <f t="shared" si="23"/>
        <v>Monday</v>
      </c>
      <c r="D474" s="6" t="s">
        <v>214</v>
      </c>
      <c r="E474" s="6"/>
      <c r="F474" s="6" t="s">
        <v>536</v>
      </c>
      <c r="G474" s="18">
        <v>1000</v>
      </c>
      <c r="H474" s="6" t="s">
        <v>185</v>
      </c>
      <c r="I474" s="6"/>
    </row>
    <row r="475" spans="1:9" ht="12.75" x14ac:dyDescent="0.2">
      <c r="A475" s="10">
        <f t="shared" si="22"/>
        <v>473</v>
      </c>
      <c r="B475" s="19">
        <v>46069</v>
      </c>
      <c r="C475" s="24" t="str">
        <f t="shared" si="23"/>
        <v>Monday</v>
      </c>
      <c r="D475" s="6" t="s">
        <v>214</v>
      </c>
      <c r="E475" s="6"/>
      <c r="F475" s="6" t="s">
        <v>536</v>
      </c>
      <c r="G475" s="18">
        <v>-1000</v>
      </c>
      <c r="H475" s="6" t="s">
        <v>22</v>
      </c>
      <c r="I475" s="6"/>
    </row>
    <row r="476" spans="1:9" ht="12.75" x14ac:dyDescent="0.2">
      <c r="A476" s="10">
        <f t="shared" si="22"/>
        <v>474</v>
      </c>
      <c r="B476" s="19">
        <v>46069</v>
      </c>
      <c r="C476" s="24" t="str">
        <f t="shared" si="23"/>
        <v>Monday</v>
      </c>
      <c r="D476" s="6" t="s">
        <v>213</v>
      </c>
      <c r="E476" s="6"/>
      <c r="F476" s="6" t="s">
        <v>486</v>
      </c>
      <c r="G476" s="18">
        <v>233333.33333333331</v>
      </c>
      <c r="H476" s="6" t="s">
        <v>26</v>
      </c>
      <c r="I476" s="6"/>
    </row>
    <row r="477" spans="1:9" ht="12.75" x14ac:dyDescent="0.2">
      <c r="A477" s="10">
        <f t="shared" si="22"/>
        <v>475</v>
      </c>
      <c r="B477" s="19">
        <v>46069</v>
      </c>
      <c r="C477" s="24" t="str">
        <f t="shared" si="23"/>
        <v>Monday</v>
      </c>
      <c r="D477" s="6" t="s">
        <v>217</v>
      </c>
      <c r="E477" s="6"/>
      <c r="F477" s="6" t="s">
        <v>487</v>
      </c>
      <c r="G477" s="18">
        <v>116666.66666666701</v>
      </c>
      <c r="H477" s="6" t="s">
        <v>26</v>
      </c>
      <c r="I477" s="6"/>
    </row>
    <row r="478" spans="1:9" ht="12.75" x14ac:dyDescent="0.2">
      <c r="A478" s="10">
        <f t="shared" si="22"/>
        <v>476</v>
      </c>
      <c r="B478" s="19">
        <v>46069</v>
      </c>
      <c r="C478" s="24" t="str">
        <f t="shared" si="23"/>
        <v>Monday</v>
      </c>
      <c r="D478" s="6" t="s">
        <v>213</v>
      </c>
      <c r="E478" s="6"/>
      <c r="F478" s="6" t="s">
        <v>488</v>
      </c>
      <c r="G478" s="18">
        <v>-233333.33333333299</v>
      </c>
      <c r="H478" s="6" t="s">
        <v>185</v>
      </c>
      <c r="I478" s="6"/>
    </row>
    <row r="479" spans="1:9" ht="12.75" x14ac:dyDescent="0.2">
      <c r="A479" s="10">
        <f t="shared" si="22"/>
        <v>477</v>
      </c>
      <c r="B479" s="19">
        <v>46069</v>
      </c>
      <c r="C479" s="24" t="str">
        <f t="shared" si="23"/>
        <v>Monday</v>
      </c>
      <c r="D479" s="6" t="s">
        <v>217</v>
      </c>
      <c r="E479" s="6"/>
      <c r="F479" s="6" t="s">
        <v>489</v>
      </c>
      <c r="G479" s="18">
        <v>-116666.66666666701</v>
      </c>
      <c r="H479" s="6" t="s">
        <v>185</v>
      </c>
      <c r="I479" s="6"/>
    </row>
    <row r="480" spans="1:9" ht="12.75" x14ac:dyDescent="0.2">
      <c r="A480" s="10">
        <f t="shared" si="22"/>
        <v>478</v>
      </c>
      <c r="B480" s="19">
        <v>46070</v>
      </c>
      <c r="C480" s="24" t="str">
        <f t="shared" si="23"/>
        <v>Tuesday</v>
      </c>
      <c r="D480" s="6"/>
      <c r="E480" s="6"/>
      <c r="F480" s="6" t="s">
        <v>537</v>
      </c>
      <c r="G480" s="18">
        <v>1826.64</v>
      </c>
      <c r="H480" s="6" t="s">
        <v>185</v>
      </c>
      <c r="I480" s="6"/>
    </row>
    <row r="481" spans="1:9" ht="12.75" x14ac:dyDescent="0.2">
      <c r="A481" s="10">
        <f t="shared" si="22"/>
        <v>479</v>
      </c>
      <c r="B481" s="19">
        <v>46070</v>
      </c>
      <c r="C481" s="24" t="str">
        <f t="shared" si="23"/>
        <v>Tuesday</v>
      </c>
      <c r="D481" s="6"/>
      <c r="E481" s="6"/>
      <c r="F481" s="6" t="s">
        <v>537</v>
      </c>
      <c r="G481" s="18">
        <v>-1826.64</v>
      </c>
      <c r="H481" s="6" t="s">
        <v>182</v>
      </c>
      <c r="I481" s="6"/>
    </row>
    <row r="482" spans="1:9" ht="12.75" x14ac:dyDescent="0.2">
      <c r="A482" s="10">
        <f t="shared" si="22"/>
        <v>480</v>
      </c>
      <c r="B482" s="19">
        <v>46070</v>
      </c>
      <c r="C482" s="24" t="str">
        <f t="shared" si="23"/>
        <v>Tuesday</v>
      </c>
      <c r="D482" s="6"/>
      <c r="E482" s="6"/>
      <c r="F482" s="6" t="s">
        <v>537</v>
      </c>
      <c r="G482" s="18">
        <v>1826.64</v>
      </c>
      <c r="H482" s="6" t="s">
        <v>182</v>
      </c>
      <c r="I482" s="6"/>
    </row>
    <row r="483" spans="1:9" ht="12.75" x14ac:dyDescent="0.2">
      <c r="A483" s="10">
        <f t="shared" si="22"/>
        <v>481</v>
      </c>
      <c r="B483" s="19">
        <v>46070</v>
      </c>
      <c r="C483" s="24" t="str">
        <f t="shared" si="23"/>
        <v>Tuesday</v>
      </c>
      <c r="D483" s="6"/>
      <c r="E483" s="6"/>
      <c r="F483" s="6" t="s">
        <v>538</v>
      </c>
      <c r="G483" s="18">
        <v>1911</v>
      </c>
      <c r="H483" s="6" t="s">
        <v>22</v>
      </c>
      <c r="I483" s="6"/>
    </row>
    <row r="484" spans="1:9" ht="12.75" x14ac:dyDescent="0.2">
      <c r="A484" s="10">
        <f t="shared" si="22"/>
        <v>482</v>
      </c>
      <c r="B484" s="19">
        <v>46070</v>
      </c>
      <c r="C484" s="24" t="str">
        <f t="shared" si="23"/>
        <v>Tuesday</v>
      </c>
      <c r="D484" s="6"/>
      <c r="E484" s="6"/>
      <c r="F484" s="6" t="s">
        <v>539</v>
      </c>
      <c r="G484" s="18">
        <v>-1911</v>
      </c>
      <c r="H484" s="6" t="s">
        <v>22</v>
      </c>
      <c r="I484" s="6"/>
    </row>
    <row r="485" spans="1:9" ht="12.75" x14ac:dyDescent="0.2">
      <c r="A485" s="10">
        <f t="shared" si="22"/>
        <v>483</v>
      </c>
      <c r="B485" s="19">
        <v>46070</v>
      </c>
      <c r="C485" s="24" t="str">
        <f t="shared" si="23"/>
        <v>Tuesday</v>
      </c>
      <c r="D485" s="6"/>
      <c r="E485" s="6"/>
      <c r="F485" s="6" t="s">
        <v>540</v>
      </c>
      <c r="G485" s="18">
        <v>1911</v>
      </c>
      <c r="H485" s="6" t="s">
        <v>185</v>
      </c>
      <c r="I485" s="6"/>
    </row>
    <row r="486" spans="1:9" ht="12.75" x14ac:dyDescent="0.2">
      <c r="A486" s="10">
        <f t="shared" si="22"/>
        <v>484</v>
      </c>
      <c r="B486" s="19">
        <v>46070</v>
      </c>
      <c r="C486" s="24" t="str">
        <f t="shared" si="23"/>
        <v>Tuesday</v>
      </c>
      <c r="D486" s="6" t="s">
        <v>251</v>
      </c>
      <c r="E486" s="6"/>
      <c r="F486" s="6" t="s">
        <v>541</v>
      </c>
      <c r="G486" s="72">
        <v>552.2400000000016</v>
      </c>
      <c r="H486" s="6" t="s">
        <v>22</v>
      </c>
      <c r="I486" s="6"/>
    </row>
    <row r="487" spans="1:9" ht="12.75" x14ac:dyDescent="0.2">
      <c r="A487" s="10">
        <f t="shared" si="22"/>
        <v>485</v>
      </c>
      <c r="B487" s="19">
        <v>46071</v>
      </c>
      <c r="C487" s="24" t="str">
        <f t="shared" si="23"/>
        <v>Wednesday</v>
      </c>
      <c r="D487" s="6"/>
      <c r="E487" s="6"/>
      <c r="F487" s="6" t="s">
        <v>542</v>
      </c>
      <c r="G487" s="72">
        <v>20000</v>
      </c>
      <c r="H487" s="6" t="s">
        <v>185</v>
      </c>
      <c r="I487" s="6"/>
    </row>
    <row r="488" spans="1:9" ht="12.75" x14ac:dyDescent="0.2">
      <c r="A488" s="10">
        <f t="shared" si="22"/>
        <v>486</v>
      </c>
      <c r="B488" s="19">
        <v>46071</v>
      </c>
      <c r="C488" s="24" t="str">
        <f t="shared" si="23"/>
        <v>Wednesday</v>
      </c>
      <c r="D488" s="6"/>
      <c r="E488" s="6"/>
      <c r="F488" s="6" t="s">
        <v>543</v>
      </c>
      <c r="G488" s="72">
        <v>-20000</v>
      </c>
      <c r="H488" s="6" t="s">
        <v>110</v>
      </c>
      <c r="I488" s="6"/>
    </row>
    <row r="489" spans="1:9" ht="12.75" x14ac:dyDescent="0.2">
      <c r="A489" s="10">
        <f t="shared" si="22"/>
        <v>487</v>
      </c>
      <c r="B489" s="19">
        <v>46071</v>
      </c>
      <c r="C489" s="24" t="str">
        <f t="shared" si="23"/>
        <v>Wednesday</v>
      </c>
      <c r="D489" s="6" t="s">
        <v>214</v>
      </c>
      <c r="E489" s="6"/>
      <c r="F489" s="6" t="s">
        <v>544</v>
      </c>
      <c r="G489" s="72">
        <v>16000</v>
      </c>
      <c r="H489" s="6" t="s">
        <v>185</v>
      </c>
      <c r="I489" s="6"/>
    </row>
    <row r="490" spans="1:9" ht="12.75" x14ac:dyDescent="0.2">
      <c r="A490" s="10">
        <f t="shared" si="22"/>
        <v>488</v>
      </c>
      <c r="B490" s="19">
        <v>46071</v>
      </c>
      <c r="C490" s="24" t="str">
        <f t="shared" si="23"/>
        <v>Wednesday</v>
      </c>
      <c r="D490" s="6" t="s">
        <v>214</v>
      </c>
      <c r="E490" s="6"/>
      <c r="F490" s="6" t="s">
        <v>544</v>
      </c>
      <c r="G490" s="72">
        <v>16000</v>
      </c>
      <c r="H490" s="6" t="s">
        <v>185</v>
      </c>
      <c r="I490" s="6"/>
    </row>
    <row r="491" spans="1:9" ht="12.75" x14ac:dyDescent="0.2">
      <c r="A491" s="10">
        <f t="shared" si="22"/>
        <v>489</v>
      </c>
      <c r="B491" s="19">
        <v>46071</v>
      </c>
      <c r="C491" s="24" t="str">
        <f t="shared" si="23"/>
        <v>Wednesday</v>
      </c>
      <c r="D491" s="6" t="s">
        <v>69</v>
      </c>
      <c r="E491" s="6"/>
      <c r="F491" s="6" t="s">
        <v>371</v>
      </c>
      <c r="G491" s="72">
        <v>20000</v>
      </c>
      <c r="H491" s="6" t="s">
        <v>22</v>
      </c>
      <c r="I491" s="6"/>
    </row>
    <row r="492" spans="1:9" ht="12.75" x14ac:dyDescent="0.2">
      <c r="A492" s="10">
        <f t="shared" si="22"/>
        <v>490</v>
      </c>
      <c r="B492" s="19">
        <v>46072</v>
      </c>
      <c r="C492" s="24" t="str">
        <f t="shared" si="23"/>
        <v>Thursday</v>
      </c>
      <c r="D492" s="6" t="s">
        <v>214</v>
      </c>
      <c r="E492" s="6"/>
      <c r="F492" s="6" t="s">
        <v>545</v>
      </c>
      <c r="G492" s="18">
        <v>3000</v>
      </c>
      <c r="H492" s="6" t="s">
        <v>129</v>
      </c>
      <c r="I492" s="6"/>
    </row>
    <row r="493" spans="1:9" ht="12.75" x14ac:dyDescent="0.2">
      <c r="A493" s="10">
        <f t="shared" si="22"/>
        <v>491</v>
      </c>
      <c r="B493" s="19">
        <v>46072</v>
      </c>
      <c r="C493" s="24" t="str">
        <f t="shared" si="23"/>
        <v>Thursday</v>
      </c>
      <c r="D493" s="6" t="s">
        <v>247</v>
      </c>
      <c r="E493" s="6"/>
      <c r="F493" s="6" t="s">
        <v>546</v>
      </c>
      <c r="G493" s="18">
        <v>-3000</v>
      </c>
      <c r="H493" s="6" t="s">
        <v>182</v>
      </c>
      <c r="I493" s="6"/>
    </row>
    <row r="494" spans="1:9" ht="12.75" x14ac:dyDescent="0.2">
      <c r="A494" s="10">
        <f t="shared" si="22"/>
        <v>492</v>
      </c>
      <c r="B494" s="19">
        <v>46072</v>
      </c>
      <c r="C494" s="24" t="str">
        <f t="shared" si="23"/>
        <v>Thursday</v>
      </c>
      <c r="D494" s="6" t="s">
        <v>214</v>
      </c>
      <c r="E494" s="6"/>
      <c r="F494" s="6" t="s">
        <v>547</v>
      </c>
      <c r="G494" s="72">
        <v>1161.6199999999999</v>
      </c>
      <c r="H494" s="6" t="s">
        <v>110</v>
      </c>
      <c r="I494" s="6"/>
    </row>
    <row r="495" spans="1:9" ht="12.75" x14ac:dyDescent="0.2">
      <c r="A495" s="10">
        <f t="shared" si="22"/>
        <v>493</v>
      </c>
      <c r="B495" s="19">
        <v>46073</v>
      </c>
      <c r="C495" s="24" t="str">
        <f t="shared" si="23"/>
        <v>Friday</v>
      </c>
      <c r="D495" s="6" t="s">
        <v>214</v>
      </c>
      <c r="E495" s="6"/>
      <c r="F495" s="6" t="s">
        <v>548</v>
      </c>
      <c r="G495" s="72">
        <v>713</v>
      </c>
      <c r="H495" s="6" t="s">
        <v>129</v>
      </c>
      <c r="I495" s="6"/>
    </row>
    <row r="496" spans="1:9" ht="12.75" x14ac:dyDescent="0.2">
      <c r="A496" s="10">
        <f t="shared" si="22"/>
        <v>494</v>
      </c>
      <c r="B496" s="19">
        <v>46073</v>
      </c>
      <c r="C496" s="24" t="str">
        <f t="shared" si="23"/>
        <v>Friday</v>
      </c>
      <c r="D496" s="6" t="s">
        <v>214</v>
      </c>
      <c r="E496" s="6"/>
      <c r="F496" s="6" t="s">
        <v>549</v>
      </c>
      <c r="G496" s="18">
        <v>94</v>
      </c>
      <c r="H496" s="6" t="s">
        <v>129</v>
      </c>
      <c r="I496" s="6"/>
    </row>
    <row r="497" spans="1:9" ht="12.75" x14ac:dyDescent="0.2">
      <c r="A497" s="10">
        <f t="shared" si="22"/>
        <v>495</v>
      </c>
      <c r="B497" s="19">
        <v>46073</v>
      </c>
      <c r="C497" s="24" t="str">
        <f t="shared" si="23"/>
        <v>Friday</v>
      </c>
      <c r="D497" s="6" t="s">
        <v>214</v>
      </c>
      <c r="E497" s="6"/>
      <c r="F497" s="6" t="s">
        <v>550</v>
      </c>
      <c r="G497" s="18">
        <v>177</v>
      </c>
      <c r="H497" s="6" t="s">
        <v>182</v>
      </c>
      <c r="I497" s="6"/>
    </row>
    <row r="498" spans="1:9" ht="12.75" x14ac:dyDescent="0.2">
      <c r="A498" s="10">
        <f t="shared" si="22"/>
        <v>496</v>
      </c>
      <c r="B498" s="19">
        <v>46073</v>
      </c>
      <c r="C498" s="24" t="str">
        <f t="shared" si="23"/>
        <v>Friday</v>
      </c>
      <c r="D498" s="6" t="s">
        <v>247</v>
      </c>
      <c r="E498" s="6"/>
      <c r="F498" s="6" t="s">
        <v>551</v>
      </c>
      <c r="G498" s="18">
        <v>18000</v>
      </c>
      <c r="H498" s="6" t="s">
        <v>129</v>
      </c>
      <c r="I498" s="6"/>
    </row>
    <row r="499" spans="1:9" ht="12.75" x14ac:dyDescent="0.2">
      <c r="A499" s="10">
        <f t="shared" si="22"/>
        <v>497</v>
      </c>
      <c r="B499" s="19">
        <v>46073</v>
      </c>
      <c r="C499" s="24" t="str">
        <f t="shared" si="23"/>
        <v>Friday</v>
      </c>
      <c r="D499" s="6" t="s">
        <v>247</v>
      </c>
      <c r="E499" s="6"/>
      <c r="F499" s="6" t="s">
        <v>551</v>
      </c>
      <c r="G499" s="18">
        <v>-18000</v>
      </c>
      <c r="H499" s="6" t="s">
        <v>25</v>
      </c>
      <c r="I499" s="6"/>
    </row>
    <row r="500" spans="1:9" ht="12.75" x14ac:dyDescent="0.2">
      <c r="A500" s="10">
        <f t="shared" si="22"/>
        <v>498</v>
      </c>
      <c r="B500" s="19">
        <v>46073</v>
      </c>
      <c r="C500" s="24" t="str">
        <f t="shared" si="23"/>
        <v>Friday</v>
      </c>
      <c r="D500" s="6" t="s">
        <v>214</v>
      </c>
      <c r="E500" s="6"/>
      <c r="F500" s="6" t="s">
        <v>552</v>
      </c>
      <c r="G500" s="72">
        <v>359.31</v>
      </c>
      <c r="H500" s="6" t="s">
        <v>110</v>
      </c>
      <c r="I500" s="6"/>
    </row>
    <row r="501" spans="1:9" ht="12.75" x14ac:dyDescent="0.2">
      <c r="A501" s="10">
        <f t="shared" si="22"/>
        <v>499</v>
      </c>
      <c r="B501" s="19">
        <v>46074</v>
      </c>
      <c r="C501" s="24" t="str">
        <f t="shared" si="23"/>
        <v>Saturday</v>
      </c>
      <c r="D501" s="6" t="s">
        <v>255</v>
      </c>
      <c r="E501" s="6"/>
      <c r="F501" s="6" t="s">
        <v>553</v>
      </c>
      <c r="G501" s="18">
        <v>50000</v>
      </c>
      <c r="H501" s="6" t="s">
        <v>182</v>
      </c>
      <c r="I501" s="6"/>
    </row>
    <row r="502" spans="1:9" ht="12.75" x14ac:dyDescent="0.2">
      <c r="A502" s="10">
        <f t="shared" si="22"/>
        <v>500</v>
      </c>
      <c r="B502" s="19">
        <v>46074</v>
      </c>
      <c r="C502" s="24" t="str">
        <f t="shared" si="23"/>
        <v>Saturday</v>
      </c>
      <c r="D502" s="6" t="s">
        <v>255</v>
      </c>
      <c r="E502" s="6"/>
      <c r="F502" s="6" t="s">
        <v>553</v>
      </c>
      <c r="G502" s="18">
        <v>-50000</v>
      </c>
      <c r="H502" s="6" t="s">
        <v>185</v>
      </c>
      <c r="I502" s="6"/>
    </row>
    <row r="503" spans="1:9" ht="12.75" x14ac:dyDescent="0.2">
      <c r="A503" s="10">
        <f t="shared" si="22"/>
        <v>501</v>
      </c>
      <c r="B503" s="19">
        <v>46074</v>
      </c>
      <c r="C503" s="24" t="str">
        <f t="shared" si="23"/>
        <v>Saturday</v>
      </c>
      <c r="D503" s="6" t="s">
        <v>251</v>
      </c>
      <c r="E503" s="6"/>
      <c r="F503" s="6" t="s">
        <v>554</v>
      </c>
      <c r="G503" s="72">
        <v>187</v>
      </c>
      <c r="H503" s="6" t="s">
        <v>110</v>
      </c>
      <c r="I503" s="6"/>
    </row>
    <row r="504" spans="1:9" ht="12.75" x14ac:dyDescent="0.2">
      <c r="A504" s="10">
        <f t="shared" ref="A504:A563" si="24">A503+1</f>
        <v>502</v>
      </c>
      <c r="B504" s="19">
        <v>46074</v>
      </c>
      <c r="C504" s="24" t="str">
        <f t="shared" ref="C504:C563" si="25">TEXT(B504,"dddd")</f>
        <v>Saturday</v>
      </c>
      <c r="D504" s="6" t="s">
        <v>251</v>
      </c>
      <c r="E504" s="6"/>
      <c r="F504" s="6" t="s">
        <v>555</v>
      </c>
      <c r="G504" s="72">
        <v>1180</v>
      </c>
      <c r="H504" s="6" t="s">
        <v>110</v>
      </c>
      <c r="I504" s="6"/>
    </row>
    <row r="505" spans="1:9" ht="12.75" x14ac:dyDescent="0.2">
      <c r="A505" s="10">
        <f t="shared" si="24"/>
        <v>503</v>
      </c>
      <c r="B505" s="19">
        <v>46074</v>
      </c>
      <c r="C505" s="24" t="str">
        <f t="shared" si="25"/>
        <v>Saturday</v>
      </c>
      <c r="D505" s="6" t="s">
        <v>251</v>
      </c>
      <c r="E505" s="6"/>
      <c r="F505" s="6" t="s">
        <v>556</v>
      </c>
      <c r="G505" s="72">
        <v>590</v>
      </c>
      <c r="H505" s="6" t="s">
        <v>110</v>
      </c>
      <c r="I505" s="6"/>
    </row>
    <row r="506" spans="1:9" ht="12.75" x14ac:dyDescent="0.2">
      <c r="A506" s="10">
        <f t="shared" si="24"/>
        <v>504</v>
      </c>
      <c r="B506" s="19">
        <v>46074</v>
      </c>
      <c r="C506" s="24" t="str">
        <f t="shared" si="25"/>
        <v>Saturday</v>
      </c>
      <c r="D506" s="6"/>
      <c r="E506" s="6"/>
      <c r="F506" s="6" t="s">
        <v>557</v>
      </c>
      <c r="G506" s="72">
        <v>1199</v>
      </c>
      <c r="H506" s="6" t="s">
        <v>110</v>
      </c>
      <c r="I506" s="6"/>
    </row>
    <row r="507" spans="1:9" ht="12.75" x14ac:dyDescent="0.2">
      <c r="A507" s="10">
        <f t="shared" si="24"/>
        <v>505</v>
      </c>
      <c r="B507" s="19">
        <v>46074</v>
      </c>
      <c r="C507" s="24" t="str">
        <f t="shared" si="25"/>
        <v>Saturday</v>
      </c>
      <c r="D507" s="6" t="s">
        <v>251</v>
      </c>
      <c r="E507" s="6"/>
      <c r="F507" s="6" t="s">
        <v>558</v>
      </c>
      <c r="G507" s="72">
        <v>118</v>
      </c>
      <c r="H507" s="6" t="s">
        <v>185</v>
      </c>
      <c r="I507" s="6"/>
    </row>
    <row r="508" spans="1:9" ht="12.75" x14ac:dyDescent="0.2">
      <c r="A508" s="10">
        <f t="shared" si="24"/>
        <v>506</v>
      </c>
      <c r="B508" s="19">
        <v>46076</v>
      </c>
      <c r="C508" s="24" t="str">
        <f t="shared" si="25"/>
        <v>Monday</v>
      </c>
      <c r="D508" s="6"/>
      <c r="E508" s="6"/>
      <c r="F508" s="6" t="s">
        <v>559</v>
      </c>
      <c r="G508" s="18">
        <v>530</v>
      </c>
      <c r="H508" s="6" t="s">
        <v>182</v>
      </c>
      <c r="I508" s="6"/>
    </row>
    <row r="509" spans="1:9" ht="12.75" x14ac:dyDescent="0.2">
      <c r="A509" s="10">
        <f t="shared" si="24"/>
        <v>507</v>
      </c>
      <c r="B509" s="19">
        <v>46077</v>
      </c>
      <c r="C509" s="24" t="str">
        <f t="shared" si="25"/>
        <v>Tuesday</v>
      </c>
      <c r="D509" s="6"/>
      <c r="E509" s="6"/>
      <c r="F509" s="6" t="s">
        <v>324</v>
      </c>
      <c r="G509" s="18">
        <v>124</v>
      </c>
      <c r="H509" s="6" t="s">
        <v>22</v>
      </c>
      <c r="I509" s="6"/>
    </row>
    <row r="510" spans="1:9" ht="12.75" x14ac:dyDescent="0.2">
      <c r="A510" s="10">
        <f t="shared" si="24"/>
        <v>508</v>
      </c>
      <c r="B510" s="19">
        <v>46078</v>
      </c>
      <c r="C510" s="24" t="str">
        <f t="shared" si="25"/>
        <v>Wednesday</v>
      </c>
      <c r="D510" s="6"/>
      <c r="E510" s="6"/>
      <c r="F510" s="6" t="s">
        <v>560</v>
      </c>
      <c r="G510" s="18">
        <v>1050</v>
      </c>
      <c r="H510" s="6" t="s">
        <v>22</v>
      </c>
      <c r="I510" s="6"/>
    </row>
    <row r="511" spans="1:9" ht="12.75" x14ac:dyDescent="0.2">
      <c r="A511" s="10">
        <f t="shared" si="24"/>
        <v>509</v>
      </c>
      <c r="B511" s="19">
        <v>46079</v>
      </c>
      <c r="C511" s="24" t="str">
        <f t="shared" si="25"/>
        <v>Thursday</v>
      </c>
      <c r="D511" s="6"/>
      <c r="E511" s="6"/>
      <c r="F511" s="6" t="s">
        <v>561</v>
      </c>
      <c r="G511" s="72">
        <v>2175</v>
      </c>
      <c r="H511" s="6" t="s">
        <v>22</v>
      </c>
      <c r="I511" s="6"/>
    </row>
    <row r="512" spans="1:9" ht="12.75" x14ac:dyDescent="0.2">
      <c r="A512" s="10">
        <f t="shared" si="24"/>
        <v>510</v>
      </c>
      <c r="B512" s="19">
        <v>46079</v>
      </c>
      <c r="C512" s="24" t="str">
        <f t="shared" si="25"/>
        <v>Thursday</v>
      </c>
      <c r="D512" s="6" t="s">
        <v>214</v>
      </c>
      <c r="E512" s="6"/>
      <c r="F512" s="6" t="s">
        <v>562</v>
      </c>
      <c r="G512" s="72">
        <v>80</v>
      </c>
      <c r="H512" s="6" t="s">
        <v>182</v>
      </c>
      <c r="I512" s="6"/>
    </row>
    <row r="513" spans="1:9" ht="12.75" x14ac:dyDescent="0.2">
      <c r="A513" s="10">
        <f t="shared" si="24"/>
        <v>511</v>
      </c>
      <c r="B513" s="19">
        <v>46079</v>
      </c>
      <c r="C513" s="24" t="str">
        <f t="shared" si="25"/>
        <v>Thursday</v>
      </c>
      <c r="D513" s="6" t="s">
        <v>214</v>
      </c>
      <c r="E513" s="6"/>
      <c r="F513" s="6" t="s">
        <v>563</v>
      </c>
      <c r="G513" s="72">
        <v>936</v>
      </c>
      <c r="H513" s="6" t="s">
        <v>22</v>
      </c>
      <c r="I513" s="6"/>
    </row>
    <row r="514" spans="1:9" ht="12.75" x14ac:dyDescent="0.2">
      <c r="A514" s="10">
        <f t="shared" si="24"/>
        <v>512</v>
      </c>
      <c r="B514" s="19">
        <v>46082</v>
      </c>
      <c r="C514" s="24" t="str">
        <f t="shared" si="25"/>
        <v>Sunday</v>
      </c>
      <c r="D514" s="6" t="s">
        <v>19</v>
      </c>
      <c r="E514" s="6"/>
      <c r="F514" s="6" t="s">
        <v>758</v>
      </c>
      <c r="G514" s="18">
        <v>12500</v>
      </c>
      <c r="H514" s="6" t="s">
        <v>185</v>
      </c>
      <c r="I514" s="6"/>
    </row>
    <row r="515" spans="1:9" ht="12.75" x14ac:dyDescent="0.2">
      <c r="A515" s="10">
        <f t="shared" si="24"/>
        <v>513</v>
      </c>
      <c r="B515" s="19">
        <v>46082</v>
      </c>
      <c r="C515" s="24" t="str">
        <f t="shared" si="25"/>
        <v>Sunday</v>
      </c>
      <c r="D515" s="6" t="s">
        <v>217</v>
      </c>
      <c r="E515" s="6"/>
      <c r="F515" s="6" t="s">
        <v>762</v>
      </c>
      <c r="G515" s="18">
        <v>-25000</v>
      </c>
      <c r="H515" s="6" t="s">
        <v>26</v>
      </c>
      <c r="I515" s="6"/>
    </row>
    <row r="516" spans="1:9" ht="12.75" x14ac:dyDescent="0.2">
      <c r="A516" s="10">
        <f t="shared" si="24"/>
        <v>514</v>
      </c>
      <c r="B516" s="19">
        <v>46082</v>
      </c>
      <c r="C516" s="24" t="str">
        <f t="shared" si="25"/>
        <v>Sunday</v>
      </c>
      <c r="D516" s="6" t="s">
        <v>19</v>
      </c>
      <c r="E516" s="6"/>
      <c r="F516" s="6" t="s">
        <v>759</v>
      </c>
      <c r="G516" s="18">
        <v>12500</v>
      </c>
      <c r="H516" s="6" t="s">
        <v>185</v>
      </c>
      <c r="I516" s="6"/>
    </row>
    <row r="517" spans="1:9" ht="12.75" x14ac:dyDescent="0.2">
      <c r="A517" s="10">
        <f t="shared" si="24"/>
        <v>515</v>
      </c>
      <c r="B517" s="19">
        <v>46082</v>
      </c>
      <c r="C517" s="24" t="str">
        <f t="shared" si="25"/>
        <v>Sunday</v>
      </c>
      <c r="D517" s="6"/>
      <c r="E517" s="6"/>
      <c r="F517" s="6" t="s">
        <v>570</v>
      </c>
      <c r="G517" s="18">
        <v>15529</v>
      </c>
      <c r="H517" s="6" t="s">
        <v>185</v>
      </c>
      <c r="I517" s="6"/>
    </row>
    <row r="518" spans="1:9" ht="12.75" x14ac:dyDescent="0.2">
      <c r="A518" s="10">
        <f t="shared" si="24"/>
        <v>516</v>
      </c>
      <c r="B518" s="19">
        <v>46082</v>
      </c>
      <c r="C518" s="24" t="str">
        <f t="shared" si="25"/>
        <v>Sunday</v>
      </c>
      <c r="D518" s="6"/>
      <c r="E518" s="6"/>
      <c r="F518" s="6" t="s">
        <v>760</v>
      </c>
      <c r="G518" s="18">
        <v>15529</v>
      </c>
      <c r="H518" s="6" t="s">
        <v>185</v>
      </c>
      <c r="I518" s="6"/>
    </row>
    <row r="519" spans="1:9" ht="12.75" x14ac:dyDescent="0.2">
      <c r="A519" s="10">
        <f t="shared" si="24"/>
        <v>517</v>
      </c>
      <c r="B519" s="19">
        <v>46082</v>
      </c>
      <c r="C519" s="24" t="str">
        <f t="shared" si="25"/>
        <v>Sunday</v>
      </c>
      <c r="D519" s="6"/>
      <c r="E519" s="6"/>
      <c r="F519" s="6" t="s">
        <v>571</v>
      </c>
      <c r="G519" s="18">
        <v>43102.8</v>
      </c>
      <c r="H519" s="6" t="s">
        <v>185</v>
      </c>
      <c r="I519" s="6"/>
    </row>
    <row r="520" spans="1:9" ht="12.75" x14ac:dyDescent="0.2">
      <c r="A520" s="10">
        <f t="shared" si="24"/>
        <v>518</v>
      </c>
      <c r="B520" s="19">
        <v>46082</v>
      </c>
      <c r="C520" s="24" t="str">
        <f t="shared" si="25"/>
        <v>Sunday</v>
      </c>
      <c r="D520" s="6"/>
      <c r="E520" s="6"/>
      <c r="F520" s="6" t="s">
        <v>572</v>
      </c>
      <c r="G520" s="18">
        <v>31535</v>
      </c>
      <c r="H520" s="6" t="s">
        <v>185</v>
      </c>
      <c r="I520" s="6"/>
    </row>
    <row r="521" spans="1:9" ht="12.75" x14ac:dyDescent="0.2">
      <c r="A521" s="10">
        <f t="shared" si="24"/>
        <v>519</v>
      </c>
      <c r="B521" s="19">
        <v>46082</v>
      </c>
      <c r="C521" s="24" t="str">
        <f t="shared" si="25"/>
        <v>Sunday</v>
      </c>
      <c r="D521" s="6"/>
      <c r="E521" s="6"/>
      <c r="F521" s="6" t="s">
        <v>573</v>
      </c>
      <c r="G521" s="18">
        <v>32276.42</v>
      </c>
      <c r="H521" s="6" t="s">
        <v>185</v>
      </c>
      <c r="I521" s="6"/>
    </row>
    <row r="522" spans="1:9" ht="12.75" x14ac:dyDescent="0.2">
      <c r="A522" s="10">
        <f t="shared" si="24"/>
        <v>520</v>
      </c>
      <c r="B522" s="19">
        <v>46082</v>
      </c>
      <c r="C522" s="24" t="str">
        <f t="shared" si="25"/>
        <v>Sunday</v>
      </c>
      <c r="D522" s="6"/>
      <c r="E522" s="6"/>
      <c r="F522" s="6" t="s">
        <v>574</v>
      </c>
      <c r="G522" s="18">
        <v>13058</v>
      </c>
      <c r="H522" s="6" t="s">
        <v>185</v>
      </c>
      <c r="I522" s="6"/>
    </row>
    <row r="523" spans="1:9" ht="12.75" x14ac:dyDescent="0.2">
      <c r="A523" s="10">
        <f t="shared" si="24"/>
        <v>521</v>
      </c>
      <c r="B523" s="19">
        <v>46082</v>
      </c>
      <c r="C523" s="24" t="str">
        <f t="shared" si="25"/>
        <v>Sunday</v>
      </c>
      <c r="D523" s="6"/>
      <c r="E523" s="6"/>
      <c r="F523" s="6" t="s">
        <v>570</v>
      </c>
      <c r="G523" s="18">
        <v>-15529</v>
      </c>
      <c r="H523" s="6" t="s">
        <v>26</v>
      </c>
      <c r="I523" s="6"/>
    </row>
    <row r="524" spans="1:9" ht="12.75" x14ac:dyDescent="0.2">
      <c r="A524" s="10">
        <f t="shared" si="24"/>
        <v>522</v>
      </c>
      <c r="B524" s="19">
        <v>46082</v>
      </c>
      <c r="C524" s="24" t="str">
        <f t="shared" si="25"/>
        <v>Sunday</v>
      </c>
      <c r="D524" s="6"/>
      <c r="E524" s="6"/>
      <c r="F524" s="6" t="s">
        <v>760</v>
      </c>
      <c r="G524" s="18">
        <v>-15529</v>
      </c>
      <c r="H524" s="6" t="s">
        <v>224</v>
      </c>
      <c r="I524" s="6"/>
    </row>
    <row r="525" spans="1:9" ht="12.75" x14ac:dyDescent="0.2">
      <c r="A525" s="10">
        <f t="shared" si="24"/>
        <v>523</v>
      </c>
      <c r="B525" s="19">
        <v>46082</v>
      </c>
      <c r="C525" s="24" t="str">
        <f t="shared" si="25"/>
        <v>Sunday</v>
      </c>
      <c r="D525" s="6"/>
      <c r="E525" s="6"/>
      <c r="F525" s="6" t="s">
        <v>571</v>
      </c>
      <c r="G525" s="18">
        <v>-43102.8</v>
      </c>
      <c r="H525" s="6" t="s">
        <v>22</v>
      </c>
      <c r="I525" s="6"/>
    </row>
    <row r="526" spans="1:9" ht="12.75" x14ac:dyDescent="0.2">
      <c r="A526" s="10">
        <f t="shared" si="24"/>
        <v>524</v>
      </c>
      <c r="B526" s="19">
        <v>46082</v>
      </c>
      <c r="C526" s="24" t="str">
        <f t="shared" si="25"/>
        <v>Sunday</v>
      </c>
      <c r="D526" s="6"/>
      <c r="E526" s="6"/>
      <c r="F526" s="6" t="s">
        <v>572</v>
      </c>
      <c r="G526" s="18">
        <v>-31535</v>
      </c>
      <c r="H526" s="6" t="s">
        <v>216</v>
      </c>
      <c r="I526" s="6"/>
    </row>
    <row r="527" spans="1:9" ht="12.75" x14ac:dyDescent="0.2">
      <c r="A527" s="10">
        <f t="shared" si="24"/>
        <v>525</v>
      </c>
      <c r="B527" s="19">
        <v>46082</v>
      </c>
      <c r="C527" s="24" t="str">
        <f t="shared" si="25"/>
        <v>Sunday</v>
      </c>
      <c r="D527" s="6"/>
      <c r="E527" s="6"/>
      <c r="F527" s="6" t="s">
        <v>573</v>
      </c>
      <c r="G527" s="18">
        <v>-32276.42</v>
      </c>
      <c r="H527" s="6" t="s">
        <v>182</v>
      </c>
      <c r="I527" s="6"/>
    </row>
    <row r="528" spans="1:9" ht="12.75" x14ac:dyDescent="0.2">
      <c r="A528" s="10">
        <f t="shared" si="24"/>
        <v>526</v>
      </c>
      <c r="B528" s="19">
        <v>46082</v>
      </c>
      <c r="C528" s="24" t="str">
        <f t="shared" si="25"/>
        <v>Sunday</v>
      </c>
      <c r="D528" s="6"/>
      <c r="E528" s="6"/>
      <c r="F528" s="6" t="s">
        <v>574</v>
      </c>
      <c r="G528" s="18">
        <v>-13058</v>
      </c>
      <c r="H528" s="6" t="s">
        <v>25</v>
      </c>
      <c r="I528" s="6"/>
    </row>
    <row r="529" spans="1:16" ht="12.75" x14ac:dyDescent="0.2">
      <c r="A529" s="10">
        <f t="shared" si="24"/>
        <v>527</v>
      </c>
      <c r="B529" s="19">
        <v>46083</v>
      </c>
      <c r="C529" s="24" t="str">
        <f t="shared" si="25"/>
        <v>Monday</v>
      </c>
      <c r="D529" s="6"/>
      <c r="E529" s="6"/>
      <c r="F529" s="6" t="s">
        <v>564</v>
      </c>
      <c r="G529" s="18">
        <v>2175</v>
      </c>
      <c r="H529" s="6" t="s">
        <v>22</v>
      </c>
      <c r="I529" s="6"/>
    </row>
    <row r="530" spans="1:16" ht="12.75" x14ac:dyDescent="0.2">
      <c r="A530" s="10">
        <f t="shared" si="24"/>
        <v>528</v>
      </c>
      <c r="B530" s="19">
        <v>46083</v>
      </c>
      <c r="C530" s="24" t="str">
        <f t="shared" si="25"/>
        <v>Monday</v>
      </c>
      <c r="D530" s="6"/>
      <c r="E530" s="6"/>
      <c r="F530" s="6" t="s">
        <v>565</v>
      </c>
      <c r="G530" s="72">
        <v>2040</v>
      </c>
      <c r="H530" s="6" t="s">
        <v>22</v>
      </c>
      <c r="I530" s="6"/>
    </row>
    <row r="531" spans="1:16" ht="12.75" x14ac:dyDescent="0.2">
      <c r="A531" s="10">
        <f t="shared" si="24"/>
        <v>529</v>
      </c>
      <c r="B531" s="19">
        <v>46083</v>
      </c>
      <c r="C531" s="24" t="str">
        <f t="shared" si="25"/>
        <v>Monday</v>
      </c>
      <c r="D531" s="6"/>
      <c r="E531" s="6"/>
      <c r="F531" s="6" t="s">
        <v>566</v>
      </c>
      <c r="G531" s="72">
        <v>310</v>
      </c>
      <c r="H531" s="6" t="s">
        <v>182</v>
      </c>
      <c r="I531" s="6"/>
    </row>
    <row r="532" spans="1:16" ht="12.75" x14ac:dyDescent="0.2">
      <c r="A532" s="10">
        <f t="shared" si="24"/>
        <v>530</v>
      </c>
      <c r="B532" s="19">
        <v>46083</v>
      </c>
      <c r="C532" s="24" t="str">
        <f t="shared" si="25"/>
        <v>Monday</v>
      </c>
      <c r="D532" s="6"/>
      <c r="E532" s="6"/>
      <c r="F532" s="6" t="s">
        <v>567</v>
      </c>
      <c r="G532" s="18">
        <v>234</v>
      </c>
      <c r="H532" s="6" t="s">
        <v>182</v>
      </c>
      <c r="I532" s="6"/>
    </row>
    <row r="533" spans="1:16" ht="12.75" x14ac:dyDescent="0.2">
      <c r="A533" s="10">
        <f t="shared" si="24"/>
        <v>531</v>
      </c>
      <c r="B533" s="19">
        <v>46084</v>
      </c>
      <c r="C533" s="24" t="str">
        <f t="shared" si="25"/>
        <v>Tuesday</v>
      </c>
      <c r="D533" s="6"/>
      <c r="E533" s="6"/>
      <c r="F533" s="6" t="s">
        <v>371</v>
      </c>
      <c r="G533" s="18">
        <v>20000</v>
      </c>
      <c r="H533" s="6" t="s">
        <v>110</v>
      </c>
      <c r="I533" s="6"/>
    </row>
    <row r="534" spans="1:16" ht="12.75" x14ac:dyDescent="0.2">
      <c r="A534" s="10">
        <f t="shared" si="24"/>
        <v>532</v>
      </c>
      <c r="B534" s="19">
        <v>46084</v>
      </c>
      <c r="C534" s="24" t="str">
        <f t="shared" si="25"/>
        <v>Tuesday</v>
      </c>
      <c r="D534" s="6"/>
      <c r="E534" s="6"/>
      <c r="F534" s="6" t="s">
        <v>568</v>
      </c>
      <c r="G534" s="18">
        <v>-4215</v>
      </c>
      <c r="H534" s="6" t="s">
        <v>22</v>
      </c>
      <c r="I534" s="6"/>
    </row>
    <row r="535" spans="1:16" ht="12.75" x14ac:dyDescent="0.2">
      <c r="A535" s="10">
        <f t="shared" si="24"/>
        <v>533</v>
      </c>
      <c r="B535" s="19">
        <v>46084</v>
      </c>
      <c r="C535" s="24" t="str">
        <f t="shared" si="25"/>
        <v>Tuesday</v>
      </c>
      <c r="D535" s="6"/>
      <c r="E535" s="6"/>
      <c r="F535" s="6" t="s">
        <v>568</v>
      </c>
      <c r="G535" s="18">
        <v>4215</v>
      </c>
      <c r="H535" s="6" t="s">
        <v>185</v>
      </c>
      <c r="I535" s="6"/>
    </row>
    <row r="536" spans="1:16" ht="12.75" x14ac:dyDescent="0.2">
      <c r="A536" s="10">
        <f t="shared" si="24"/>
        <v>534</v>
      </c>
      <c r="B536" s="19">
        <v>46084</v>
      </c>
      <c r="C536" s="24" t="str">
        <f t="shared" si="25"/>
        <v>Tuesday</v>
      </c>
      <c r="D536" s="6"/>
      <c r="E536" s="6"/>
      <c r="F536" s="6" t="s">
        <v>575</v>
      </c>
      <c r="G536" s="18">
        <v>25000</v>
      </c>
      <c r="H536" s="6" t="s">
        <v>182</v>
      </c>
      <c r="I536" s="6"/>
    </row>
    <row r="537" spans="1:16" ht="12.75" x14ac:dyDescent="0.2">
      <c r="A537" s="10">
        <f t="shared" si="24"/>
        <v>535</v>
      </c>
      <c r="B537" s="19">
        <v>46084</v>
      </c>
      <c r="C537" s="24" t="str">
        <f t="shared" si="25"/>
        <v>Tuesday</v>
      </c>
      <c r="D537" s="6"/>
      <c r="E537" s="6"/>
      <c r="F537" s="6" t="s">
        <v>576</v>
      </c>
      <c r="G537" s="18">
        <v>-25000</v>
      </c>
      <c r="H537" s="6" t="s">
        <v>216</v>
      </c>
      <c r="I537" s="6"/>
    </row>
    <row r="538" spans="1:16" ht="12.75" x14ac:dyDescent="0.2">
      <c r="A538" s="10">
        <f t="shared" si="24"/>
        <v>536</v>
      </c>
      <c r="B538" s="19">
        <v>46086</v>
      </c>
      <c r="C538" s="24" t="str">
        <f t="shared" si="25"/>
        <v>Thursday</v>
      </c>
      <c r="D538" s="6" t="s">
        <v>214</v>
      </c>
      <c r="E538" s="6"/>
      <c r="F538" s="6" t="s">
        <v>577</v>
      </c>
      <c r="G538" s="18">
        <v>1886.82</v>
      </c>
      <c r="H538" s="6" t="s">
        <v>216</v>
      </c>
      <c r="I538" s="6"/>
    </row>
    <row r="539" spans="1:16" ht="12.75" x14ac:dyDescent="0.2">
      <c r="A539" s="10">
        <f t="shared" si="24"/>
        <v>537</v>
      </c>
      <c r="B539" s="19">
        <v>46086</v>
      </c>
      <c r="C539" s="24" t="str">
        <f t="shared" si="25"/>
        <v>Thursday</v>
      </c>
      <c r="D539" s="6"/>
      <c r="E539" s="6"/>
      <c r="F539" s="6" t="s">
        <v>578</v>
      </c>
      <c r="G539" s="18">
        <v>110</v>
      </c>
      <c r="H539" s="6" t="s">
        <v>216</v>
      </c>
      <c r="I539" s="6"/>
    </row>
    <row r="540" spans="1:16" ht="12.75" x14ac:dyDescent="0.2">
      <c r="A540" s="10">
        <f t="shared" si="24"/>
        <v>538</v>
      </c>
      <c r="B540" s="19">
        <v>46090</v>
      </c>
      <c r="C540" s="24" t="str">
        <f t="shared" si="25"/>
        <v>Monday</v>
      </c>
      <c r="D540" s="6"/>
      <c r="E540" s="6"/>
      <c r="F540" s="6" t="s">
        <v>746</v>
      </c>
      <c r="G540" s="18">
        <v>3737</v>
      </c>
      <c r="H540" s="6" t="s">
        <v>129</v>
      </c>
      <c r="I540" s="6"/>
    </row>
    <row r="541" spans="1:16" ht="12.75" x14ac:dyDescent="0.2">
      <c r="A541" s="10">
        <f t="shared" si="24"/>
        <v>539</v>
      </c>
      <c r="B541" s="19">
        <v>46091</v>
      </c>
      <c r="C541" s="24" t="str">
        <f t="shared" si="25"/>
        <v>Tuesday</v>
      </c>
      <c r="D541" s="6" t="s">
        <v>19</v>
      </c>
      <c r="E541" s="6"/>
      <c r="F541" s="6" t="s">
        <v>747</v>
      </c>
      <c r="G541" s="18">
        <v>12166.67</v>
      </c>
      <c r="H541" s="6" t="s">
        <v>185</v>
      </c>
      <c r="I541" s="6"/>
    </row>
    <row r="542" spans="1:16" ht="12.75" x14ac:dyDescent="0.2">
      <c r="A542" s="10">
        <f t="shared" si="24"/>
        <v>540</v>
      </c>
      <c r="B542" s="19">
        <v>46091</v>
      </c>
      <c r="C542" s="24" t="str">
        <f t="shared" si="25"/>
        <v>Tuesday</v>
      </c>
      <c r="D542" s="6" t="s">
        <v>19</v>
      </c>
      <c r="E542" s="6"/>
      <c r="F542" s="6" t="s">
        <v>748</v>
      </c>
      <c r="G542" s="18">
        <v>23750</v>
      </c>
      <c r="H542" s="6" t="s">
        <v>185</v>
      </c>
      <c r="I542" s="6"/>
    </row>
    <row r="543" spans="1:16" ht="12.75" x14ac:dyDescent="0.2">
      <c r="A543" s="10">
        <f t="shared" si="24"/>
        <v>541</v>
      </c>
      <c r="B543" s="19">
        <v>46091</v>
      </c>
      <c r="C543" s="24" t="str">
        <f t="shared" si="25"/>
        <v>Tuesday</v>
      </c>
      <c r="D543" s="6" t="s">
        <v>19</v>
      </c>
      <c r="E543" s="6"/>
      <c r="F543" s="6" t="s">
        <v>749</v>
      </c>
      <c r="G543" s="18">
        <v>10000</v>
      </c>
      <c r="H543" s="6" t="s">
        <v>185</v>
      </c>
      <c r="I543" s="6"/>
      <c r="K543" s="145"/>
      <c r="L543" s="145"/>
      <c r="M543" s="145"/>
      <c r="N543" s="145"/>
      <c r="O543" s="145"/>
      <c r="P543" s="145"/>
    </row>
    <row r="544" spans="1:16" ht="12.75" x14ac:dyDescent="0.2">
      <c r="A544" s="10">
        <f t="shared" si="24"/>
        <v>542</v>
      </c>
      <c r="B544" s="19">
        <v>46091</v>
      </c>
      <c r="C544" s="24" t="str">
        <f t="shared" si="25"/>
        <v>Tuesday</v>
      </c>
      <c r="D544" s="6" t="s">
        <v>19</v>
      </c>
      <c r="E544" s="6"/>
      <c r="F544" s="6" t="s">
        <v>750</v>
      </c>
      <c r="G544" s="18">
        <v>36166.67</v>
      </c>
      <c r="H544" s="6" t="s">
        <v>185</v>
      </c>
      <c r="I544" s="6"/>
      <c r="K544" s="146"/>
      <c r="L544" s="146"/>
      <c r="M544" s="146"/>
      <c r="N544" s="147"/>
      <c r="O544" s="146"/>
      <c r="P544" s="147"/>
    </row>
    <row r="545" spans="1:16" ht="12.75" x14ac:dyDescent="0.2">
      <c r="A545" s="10">
        <f t="shared" si="24"/>
        <v>543</v>
      </c>
      <c r="B545" s="19">
        <v>46091</v>
      </c>
      <c r="C545" s="24" t="str">
        <f t="shared" si="25"/>
        <v>Tuesday</v>
      </c>
      <c r="D545" s="6" t="s">
        <v>19</v>
      </c>
      <c r="E545" s="6"/>
      <c r="F545" s="6" t="s">
        <v>751</v>
      </c>
      <c r="G545" s="18">
        <v>41250</v>
      </c>
      <c r="H545" s="6" t="s">
        <v>185</v>
      </c>
      <c r="I545" s="6"/>
      <c r="K545" s="146"/>
      <c r="L545" s="146"/>
      <c r="M545" s="146"/>
      <c r="N545" s="147"/>
      <c r="O545" s="146"/>
      <c r="P545" s="147"/>
    </row>
    <row r="546" spans="1:16" ht="12.75" x14ac:dyDescent="0.2">
      <c r="A546" s="10">
        <f t="shared" si="24"/>
        <v>544</v>
      </c>
      <c r="B546" s="19">
        <v>46091</v>
      </c>
      <c r="C546" s="24" t="str">
        <f t="shared" si="25"/>
        <v>Tuesday</v>
      </c>
      <c r="D546" s="6" t="s">
        <v>19</v>
      </c>
      <c r="E546" s="6"/>
      <c r="F546" s="6" t="s">
        <v>752</v>
      </c>
      <c r="G546" s="18">
        <v>30000</v>
      </c>
      <c r="H546" s="6" t="s">
        <v>185</v>
      </c>
      <c r="I546" s="6"/>
      <c r="K546" s="146"/>
      <c r="L546" s="146"/>
      <c r="M546" s="146"/>
      <c r="N546" s="147"/>
      <c r="O546" s="146"/>
      <c r="P546" s="147"/>
    </row>
    <row r="547" spans="1:16" ht="12.75" x14ac:dyDescent="0.2">
      <c r="A547" s="10">
        <f t="shared" si="24"/>
        <v>545</v>
      </c>
      <c r="B547" s="19">
        <v>46091</v>
      </c>
      <c r="C547" s="24" t="str">
        <f t="shared" si="25"/>
        <v>Tuesday</v>
      </c>
      <c r="D547" s="6" t="s">
        <v>19</v>
      </c>
      <c r="E547" s="6"/>
      <c r="F547" s="6" t="s">
        <v>753</v>
      </c>
      <c r="G547" s="18">
        <v>40000</v>
      </c>
      <c r="H547" s="6" t="s">
        <v>185</v>
      </c>
      <c r="I547" s="6"/>
      <c r="K547" s="146"/>
      <c r="L547" s="146"/>
      <c r="M547" s="146"/>
      <c r="N547" s="147"/>
      <c r="O547" s="146"/>
      <c r="P547" s="147"/>
    </row>
    <row r="548" spans="1:16" ht="12.75" x14ac:dyDescent="0.2">
      <c r="A548" s="10">
        <f t="shared" si="24"/>
        <v>546</v>
      </c>
      <c r="B548" s="19">
        <v>46091</v>
      </c>
      <c r="C548" s="24" t="str">
        <f t="shared" si="25"/>
        <v>Tuesday</v>
      </c>
      <c r="D548" s="6" t="s">
        <v>19</v>
      </c>
      <c r="E548" s="6"/>
      <c r="F548" s="6" t="s">
        <v>754</v>
      </c>
      <c r="G548" s="18">
        <v>9900</v>
      </c>
      <c r="H548" s="6" t="s">
        <v>185</v>
      </c>
      <c r="I548" s="6"/>
      <c r="K548" s="146"/>
      <c r="L548" s="146"/>
      <c r="M548" s="146"/>
      <c r="N548" s="147"/>
      <c r="O548" s="146"/>
      <c r="P548" s="147"/>
    </row>
    <row r="549" spans="1:16" ht="12.75" x14ac:dyDescent="0.2">
      <c r="A549" s="10">
        <f t="shared" si="24"/>
        <v>547</v>
      </c>
      <c r="B549" s="19">
        <v>46091</v>
      </c>
      <c r="C549" s="24" t="str">
        <f t="shared" si="25"/>
        <v>Tuesday</v>
      </c>
      <c r="D549" s="6" t="s">
        <v>19</v>
      </c>
      <c r="E549" s="6"/>
      <c r="F549" s="6" t="s">
        <v>755</v>
      </c>
      <c r="G549" s="18">
        <v>11500</v>
      </c>
      <c r="H549" s="6" t="s">
        <v>185</v>
      </c>
      <c r="I549" s="6"/>
      <c r="K549" s="146"/>
      <c r="L549" s="146"/>
      <c r="M549" s="146"/>
      <c r="N549" s="147"/>
      <c r="O549" s="146"/>
      <c r="P549" s="147"/>
    </row>
    <row r="550" spans="1:16" ht="12.75" x14ac:dyDescent="0.2">
      <c r="A550" s="10">
        <f t="shared" si="24"/>
        <v>548</v>
      </c>
      <c r="B550" s="19">
        <v>46091</v>
      </c>
      <c r="C550" s="24" t="str">
        <f t="shared" si="25"/>
        <v>Tuesday</v>
      </c>
      <c r="D550" s="6" t="s">
        <v>19</v>
      </c>
      <c r="E550" s="6"/>
      <c r="F550" s="6" t="s">
        <v>756</v>
      </c>
      <c r="G550" s="18">
        <v>17500</v>
      </c>
      <c r="H550" s="6" t="s">
        <v>185</v>
      </c>
      <c r="I550" s="6"/>
      <c r="K550" s="146"/>
      <c r="L550" s="146"/>
      <c r="M550" s="146"/>
      <c r="N550" s="147"/>
      <c r="O550" s="146"/>
      <c r="P550" s="147"/>
    </row>
    <row r="551" spans="1:16" ht="12.75" x14ac:dyDescent="0.2">
      <c r="A551" s="10">
        <f t="shared" si="24"/>
        <v>549</v>
      </c>
      <c r="B551" s="19">
        <v>46091</v>
      </c>
      <c r="C551" s="24" t="str">
        <f t="shared" si="25"/>
        <v>Tuesday</v>
      </c>
      <c r="D551" s="6" t="s">
        <v>19</v>
      </c>
      <c r="E551" s="6"/>
      <c r="F551" s="6" t="s">
        <v>757</v>
      </c>
      <c r="G551" s="18">
        <v>6000</v>
      </c>
      <c r="H551" s="6" t="s">
        <v>185</v>
      </c>
      <c r="I551" s="6"/>
      <c r="K551" s="146"/>
      <c r="L551" s="146"/>
      <c r="M551" s="146"/>
      <c r="N551" s="147"/>
      <c r="O551" s="146"/>
      <c r="P551" s="147"/>
    </row>
    <row r="552" spans="1:16" ht="12.75" x14ac:dyDescent="0.2">
      <c r="A552" s="10">
        <f t="shared" si="24"/>
        <v>550</v>
      </c>
      <c r="B552" s="19">
        <v>46091</v>
      </c>
      <c r="C552" s="24" t="str">
        <f t="shared" si="25"/>
        <v>Tuesday</v>
      </c>
      <c r="D552" s="6" t="s">
        <v>19</v>
      </c>
      <c r="E552" s="6"/>
      <c r="F552" s="6" t="s">
        <v>529</v>
      </c>
      <c r="G552" s="18">
        <v>12500</v>
      </c>
      <c r="H552" s="6" t="s">
        <v>185</v>
      </c>
      <c r="I552" s="6"/>
      <c r="K552" s="146"/>
      <c r="L552" s="146"/>
      <c r="M552" s="146"/>
      <c r="N552" s="147"/>
      <c r="O552" s="146"/>
      <c r="P552" s="147"/>
    </row>
    <row r="553" spans="1:16" ht="12.75" x14ac:dyDescent="0.2">
      <c r="A553" s="10">
        <f t="shared" si="24"/>
        <v>551</v>
      </c>
      <c r="B553" s="19">
        <v>46091</v>
      </c>
      <c r="C553" s="24" t="str">
        <f t="shared" si="25"/>
        <v>Tuesday</v>
      </c>
      <c r="D553" s="6" t="s">
        <v>19</v>
      </c>
      <c r="E553" s="6"/>
      <c r="F553" s="6" t="s">
        <v>761</v>
      </c>
      <c r="G553" s="18">
        <v>12500</v>
      </c>
      <c r="H553" s="6" t="s">
        <v>185</v>
      </c>
      <c r="I553" s="6"/>
      <c r="K553" s="146"/>
      <c r="L553" s="146"/>
      <c r="M553" s="146"/>
      <c r="N553" s="147"/>
      <c r="O553" s="146"/>
      <c r="P553" s="147"/>
    </row>
    <row r="554" spans="1:16" ht="12.75" x14ac:dyDescent="0.2">
      <c r="A554" s="10">
        <f t="shared" si="24"/>
        <v>552</v>
      </c>
      <c r="B554" s="19">
        <v>46091</v>
      </c>
      <c r="C554" s="24" t="str">
        <f t="shared" si="25"/>
        <v>Tuesday</v>
      </c>
      <c r="D554" s="6" t="s">
        <v>217</v>
      </c>
      <c r="E554" s="6"/>
      <c r="F554" s="6" t="s">
        <v>569</v>
      </c>
      <c r="G554" s="18">
        <v>-25000</v>
      </c>
      <c r="H554" s="6" t="s">
        <v>26</v>
      </c>
      <c r="I554" s="6"/>
      <c r="K554" s="146"/>
      <c r="L554" s="146"/>
      <c r="M554" s="146"/>
      <c r="N554" s="147"/>
      <c r="O554" s="146"/>
      <c r="P554" s="147"/>
    </row>
    <row r="555" spans="1:16" ht="12.75" x14ac:dyDescent="0.2">
      <c r="A555" s="10">
        <f t="shared" si="24"/>
        <v>553</v>
      </c>
      <c r="B555" s="19">
        <v>46091</v>
      </c>
      <c r="C555" s="24" t="str">
        <f t="shared" si="25"/>
        <v>Tuesday</v>
      </c>
      <c r="D555" s="6" t="s">
        <v>19</v>
      </c>
      <c r="E555" s="6"/>
      <c r="F555" s="6" t="s">
        <v>521</v>
      </c>
      <c r="G555" s="18">
        <v>25000</v>
      </c>
      <c r="H555" s="6" t="s">
        <v>129</v>
      </c>
      <c r="I555" s="6"/>
    </row>
    <row r="556" spans="1:16" ht="12.75" x14ac:dyDescent="0.2">
      <c r="A556" s="10">
        <f t="shared" si="24"/>
        <v>554</v>
      </c>
      <c r="B556" s="19">
        <v>46091</v>
      </c>
      <c r="C556" s="24" t="str">
        <f t="shared" si="25"/>
        <v>Tuesday</v>
      </c>
      <c r="D556" s="6" t="s">
        <v>19</v>
      </c>
      <c r="E556" s="6"/>
      <c r="F556" s="6" t="s">
        <v>522</v>
      </c>
      <c r="G556" s="18">
        <v>25000</v>
      </c>
      <c r="H556" s="6" t="s">
        <v>129</v>
      </c>
      <c r="I556" s="6"/>
    </row>
    <row r="557" spans="1:16" ht="12.75" x14ac:dyDescent="0.2">
      <c r="A557" s="10">
        <f t="shared" si="24"/>
        <v>555</v>
      </c>
      <c r="B557" s="19">
        <v>46091</v>
      </c>
      <c r="C557" s="24" t="str">
        <f t="shared" si="25"/>
        <v>Tuesday</v>
      </c>
      <c r="D557" s="6" t="s">
        <v>19</v>
      </c>
      <c r="E557" s="6"/>
      <c r="F557" s="6" t="s">
        <v>523</v>
      </c>
      <c r="G557" s="18">
        <v>25000</v>
      </c>
      <c r="H557" s="6" t="s">
        <v>129</v>
      </c>
      <c r="I557" s="6"/>
    </row>
    <row r="558" spans="1:16" ht="12.75" x14ac:dyDescent="0.2">
      <c r="A558" s="10">
        <f t="shared" si="24"/>
        <v>556</v>
      </c>
      <c r="B558" s="19">
        <v>46091</v>
      </c>
      <c r="C558" s="24" t="str">
        <f t="shared" si="25"/>
        <v>Tuesday</v>
      </c>
      <c r="D558" s="6" t="s">
        <v>19</v>
      </c>
      <c r="E558" s="6"/>
      <c r="F558" s="6" t="s">
        <v>524</v>
      </c>
      <c r="G558" s="18">
        <v>25000</v>
      </c>
      <c r="H558" s="6" t="s">
        <v>129</v>
      </c>
      <c r="I558" s="6"/>
    </row>
    <row r="559" spans="1:16" ht="12.75" x14ac:dyDescent="0.2">
      <c r="A559" s="10">
        <f t="shared" si="24"/>
        <v>557</v>
      </c>
      <c r="B559" s="19">
        <v>46091</v>
      </c>
      <c r="C559" s="24" t="str">
        <f t="shared" si="25"/>
        <v>Tuesday</v>
      </c>
      <c r="D559" s="6" t="s">
        <v>214</v>
      </c>
      <c r="E559" s="6"/>
      <c r="F559" s="6" t="s">
        <v>768</v>
      </c>
      <c r="G559" s="18">
        <v>176</v>
      </c>
      <c r="H559" s="6" t="s">
        <v>22</v>
      </c>
      <c r="I559" s="6"/>
    </row>
    <row r="560" spans="1:16" ht="12.75" x14ac:dyDescent="0.2">
      <c r="A560" s="10">
        <f t="shared" si="24"/>
        <v>558</v>
      </c>
      <c r="B560" s="19">
        <v>46091</v>
      </c>
      <c r="C560" s="24" t="str">
        <f t="shared" si="25"/>
        <v>Tuesday</v>
      </c>
      <c r="D560" s="6" t="s">
        <v>214</v>
      </c>
      <c r="E560" s="6"/>
      <c r="F560" s="6" t="s">
        <v>769</v>
      </c>
      <c r="G560" s="18">
        <v>300</v>
      </c>
      <c r="H560" s="6" t="s">
        <v>129</v>
      </c>
      <c r="I560" s="6"/>
    </row>
    <row r="561" spans="1:9" ht="12.75" x14ac:dyDescent="0.2">
      <c r="A561" s="10">
        <f t="shared" si="24"/>
        <v>559</v>
      </c>
      <c r="B561" s="19">
        <v>46091</v>
      </c>
      <c r="C561" s="24" t="str">
        <f t="shared" si="25"/>
        <v>Tuesday</v>
      </c>
      <c r="D561" s="6" t="s">
        <v>214</v>
      </c>
      <c r="E561" s="6"/>
      <c r="F561" s="6" t="s">
        <v>248</v>
      </c>
      <c r="G561" s="18">
        <v>5000</v>
      </c>
      <c r="H561" s="6" t="s">
        <v>182</v>
      </c>
      <c r="I561" s="6"/>
    </row>
    <row r="562" spans="1:9" ht="12.75" x14ac:dyDescent="0.2">
      <c r="A562" s="10">
        <f t="shared" si="24"/>
        <v>560</v>
      </c>
      <c r="B562" s="19">
        <v>46091</v>
      </c>
      <c r="C562" s="24" t="str">
        <f t="shared" si="25"/>
        <v>Tuesday</v>
      </c>
      <c r="D562" s="6" t="s">
        <v>69</v>
      </c>
      <c r="E562" s="6"/>
      <c r="F562" s="6" t="s">
        <v>371</v>
      </c>
      <c r="G562" s="18">
        <v>10000</v>
      </c>
      <c r="H562" s="6" t="s">
        <v>216</v>
      </c>
      <c r="I562" s="6"/>
    </row>
    <row r="563" spans="1:9" ht="12.75" x14ac:dyDescent="0.2">
      <c r="A563" s="10">
        <f t="shared" si="24"/>
        <v>561</v>
      </c>
      <c r="B563" s="19">
        <v>46097</v>
      </c>
      <c r="C563" s="24" t="str">
        <f t="shared" si="25"/>
        <v>Monday</v>
      </c>
      <c r="D563" s="6" t="s">
        <v>214</v>
      </c>
      <c r="E563" s="6"/>
      <c r="F563" s="6" t="s">
        <v>770</v>
      </c>
      <c r="G563" s="18">
        <v>32000</v>
      </c>
      <c r="H563" s="6"/>
      <c r="I563" s="6"/>
    </row>
    <row r="564" spans="1:9" ht="12.75" x14ac:dyDescent="0.2">
      <c r="A564" s="10">
        <f>A563+1</f>
        <v>562</v>
      </c>
      <c r="B564" s="19">
        <v>46091</v>
      </c>
      <c r="C564" s="24" t="str">
        <f>TEXT(B564,"dddd")</f>
        <v>Tuesday</v>
      </c>
      <c r="D564" s="6" t="s">
        <v>19</v>
      </c>
      <c r="E564" s="6"/>
      <c r="F564" s="6" t="s">
        <v>771</v>
      </c>
      <c r="G564" s="72">
        <v>1500</v>
      </c>
      <c r="H564" s="6" t="s">
        <v>185</v>
      </c>
      <c r="I564" s="6"/>
    </row>
    <row r="565" spans="1:9" ht="12.75" x14ac:dyDescent="0.2">
      <c r="A565" s="10">
        <f>A564+1</f>
        <v>563</v>
      </c>
      <c r="B565" s="19">
        <v>46093</v>
      </c>
      <c r="C565" s="24" t="str">
        <f>TEXT(B565,"dddd")</f>
        <v>Thursday</v>
      </c>
      <c r="D565" s="6" t="s">
        <v>214</v>
      </c>
      <c r="E565" s="6"/>
      <c r="F565" s="6" t="s">
        <v>772</v>
      </c>
      <c r="G565" s="18">
        <v>2362.02</v>
      </c>
      <c r="H565" s="6" t="s">
        <v>182</v>
      </c>
      <c r="I565" s="6"/>
    </row>
    <row r="566" spans="1:9" ht="12.75" x14ac:dyDescent="0.2"/>
    <row r="567" spans="1:9" ht="12.75" x14ac:dyDescent="0.2"/>
    <row r="568" spans="1:9" ht="12.75" x14ac:dyDescent="0.2"/>
    <row r="569" spans="1:9" ht="12.75" x14ac:dyDescent="0.2"/>
    <row r="570" spans="1:9" ht="12.75" x14ac:dyDescent="0.2"/>
    <row r="571" spans="1:9" ht="12.75" x14ac:dyDescent="0.2"/>
    <row r="572" spans="1:9" ht="12.75" x14ac:dyDescent="0.2"/>
    <row r="573" spans="1:9" ht="12.75" x14ac:dyDescent="0.2"/>
    <row r="574" spans="1:9" ht="12.75" x14ac:dyDescent="0.2"/>
    <row r="575" spans="1:9" ht="12.75" x14ac:dyDescent="0.2"/>
    <row r="576" spans="1:9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</sheetData>
  <sortState xmlns:xlrd2="http://schemas.microsoft.com/office/spreadsheetml/2017/richdata2" ref="A2:H175">
    <sortCondition ref="C2:C175"/>
  </sortState>
  <conditionalFormatting sqref="A552:E553 G552:I553 A554:I554 A555:C558 E555:E558 G555:I558 A559:I562 A563 I563 A564:E564 G564:I564 A565:I906">
    <cfRule type="expression" dxfId="15" priority="27">
      <formula>$B160=TODAY()</formula>
    </cfRule>
  </conditionalFormatting>
  <conditionalFormatting sqref="A516:I517 A518:E518 I518 B518:B520 A519:I520 A521:E521 G521:I521 A522:I522 G523:I529 A523:E535 B525:B536 H530:I535 A536:I551 B551:B553 A907:I941">
    <cfRule type="expression" dxfId="14" priority="25">
      <formula>$B125=TODAY()</formula>
    </cfRule>
  </conditionalFormatting>
  <conditionalFormatting sqref="A942:I1048576">
    <cfRule type="expression" dxfId="13" priority="38">
      <formula>$B552=TODAY()</formula>
    </cfRule>
  </conditionalFormatting>
  <conditionalFormatting sqref="A1:XFD13 A14:N15 Q14:XFD15 T14:T19 A16:XFD18 P16:P19 A19:J32 L19:XFD32 J940:XFD1048576">
    <cfRule type="expression" dxfId="12" priority="28">
      <formula>$B1048189=TODAY()</formula>
    </cfRule>
  </conditionalFormatting>
  <conditionalFormatting sqref="A33:XFD514 C512:C517 A515:E515 H515:I515 J515:XFD542 J543:J554 Q543:XFD554 J555:XFD939">
    <cfRule type="expression" dxfId="11" priority="24">
      <formula>$B1048220=TODAY()</formula>
    </cfRule>
  </conditionalFormatting>
  <conditionalFormatting sqref="B563:H563">
    <cfRule type="expression" dxfId="10" priority="2">
      <formula>$B174=TODAY()</formula>
    </cfRule>
  </conditionalFormatting>
  <conditionalFormatting sqref="D555:D558">
    <cfRule type="expression" dxfId="9" priority="3">
      <formula>$B164=TODAY()</formula>
    </cfRule>
  </conditionalFormatting>
  <conditionalFormatting sqref="F521">
    <cfRule type="expression" dxfId="8" priority="11">
      <formula>$B132=TODAY()</formula>
    </cfRule>
  </conditionalFormatting>
  <conditionalFormatting sqref="F523:F535">
    <cfRule type="expression" dxfId="7" priority="9">
      <formula>$B134=TODAY()</formula>
    </cfRule>
  </conditionalFormatting>
  <conditionalFormatting sqref="F552:F553">
    <cfRule type="expression" dxfId="6" priority="6">
      <formula>$B163=TODAY()</formula>
    </cfRule>
  </conditionalFormatting>
  <conditionalFormatting sqref="F555:F558">
    <cfRule type="expression" dxfId="5" priority="4">
      <formula>$B166=TODAY()</formula>
    </cfRule>
  </conditionalFormatting>
  <conditionalFormatting sqref="F564">
    <cfRule type="expression" dxfId="4" priority="1">
      <formula>$B173=TODAY()</formula>
    </cfRule>
  </conditionalFormatting>
  <conditionalFormatting sqref="F515:G515">
    <cfRule type="expression" dxfId="3" priority="13">
      <formula>$B124=TODAY()</formula>
    </cfRule>
  </conditionalFormatting>
  <conditionalFormatting sqref="F518:H518">
    <cfRule type="expression" dxfId="2" priority="12">
      <formula>$B129=TODAY()</formula>
    </cfRule>
  </conditionalFormatting>
  <conditionalFormatting sqref="G530:G535">
    <cfRule type="expression" dxfId="1" priority="8">
      <formula>$B141=TODAY()</formula>
    </cfRule>
  </conditionalFormatting>
  <conditionalFormatting sqref="O15:P15">
    <cfRule type="expression" dxfId="0" priority="14">
      <formula>$B1048202=TODAY()</formula>
    </cfRule>
  </conditionalFormatting>
  <dataValidations count="1">
    <dataValidation type="list" allowBlank="1" showInputMessage="1" showErrorMessage="1" sqref="J410:J425 H2:H1048576" xr:uid="{C65EDFAF-DD8B-43B2-9B9D-571CA3F56084}">
      <formula1>$J$2:$J$10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93A28F-A15E-4622-B62A-D0195BB7E409}">
          <x14:formula1>
            <xm:f>Validations!$C$2:$C$17</xm:f>
          </x14:formula1>
          <xm:sqref>D1</xm:sqref>
        </x14:dataValidation>
        <x14:dataValidation type="list" allowBlank="1" showInputMessage="1" showErrorMessage="1" xr:uid="{C48C1D4D-078F-49ED-9ED6-0B64F7299FFF}">
          <x14:formula1>
            <xm:f>Validations!$C$2:$C$21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008E-4413-44B1-A357-D02FEA7F1B3A}">
  <dimension ref="A1:J28"/>
  <sheetViews>
    <sheetView zoomScale="160" zoomScaleNormal="220" workbookViewId="0">
      <selection activeCell="C4" sqref="C4"/>
    </sheetView>
  </sheetViews>
  <sheetFormatPr defaultRowHeight="12.75" x14ac:dyDescent="0.2"/>
  <cols>
    <col min="1" max="1" width="11.28515625" bestFit="1" customWidth="1"/>
    <col min="2" max="2" width="13.5703125" bestFit="1" customWidth="1"/>
    <col min="3" max="3" width="17" bestFit="1" customWidth="1"/>
    <col min="4" max="4" width="16.42578125" bestFit="1" customWidth="1"/>
    <col min="5" max="5" width="16.42578125" customWidth="1"/>
    <col min="6" max="6" width="13.85546875" style="18" bestFit="1" customWidth="1"/>
    <col min="7" max="7" width="16.5703125" bestFit="1" customWidth="1"/>
    <col min="8" max="8" width="14.85546875" bestFit="1" customWidth="1"/>
    <col min="9" max="9" width="20" customWidth="1"/>
    <col min="10" max="11" width="16.42578125" customWidth="1"/>
  </cols>
  <sheetData>
    <row r="1" spans="1:10" x14ac:dyDescent="0.2">
      <c r="A1" s="152" t="s">
        <v>579</v>
      </c>
      <c r="B1" s="153"/>
      <c r="C1" s="22" t="s">
        <v>195</v>
      </c>
      <c r="D1" s="18"/>
      <c r="E1" s="18"/>
      <c r="F1"/>
    </row>
    <row r="2" spans="1:10" x14ac:dyDescent="0.2">
      <c r="A2" s="15">
        <v>1</v>
      </c>
      <c r="B2" s="57" t="s">
        <v>19</v>
      </c>
      <c r="C2" s="18">
        <v>33000</v>
      </c>
      <c r="D2" s="30"/>
      <c r="E2" s="30"/>
      <c r="F2"/>
    </row>
    <row r="3" spans="1:10" x14ac:dyDescent="0.2">
      <c r="A3" s="15">
        <v>2</v>
      </c>
      <c r="B3" s="57" t="s">
        <v>580</v>
      </c>
      <c r="C3">
        <v>15</v>
      </c>
      <c r="E3" t="s">
        <v>581</v>
      </c>
      <c r="F3"/>
      <c r="I3" s="18"/>
    </row>
    <row r="4" spans="1:10" x14ac:dyDescent="0.2">
      <c r="A4" s="15">
        <v>3</v>
      </c>
      <c r="B4" s="57" t="s">
        <v>582</v>
      </c>
      <c r="C4" s="30">
        <f>C3*C2</f>
        <v>495000</v>
      </c>
      <c r="D4" s="30"/>
      <c r="E4" s="30"/>
      <c r="F4" s="30"/>
      <c r="H4" s="35"/>
      <c r="I4" s="30"/>
    </row>
    <row r="5" spans="1:10" x14ac:dyDescent="0.2">
      <c r="A5" s="15">
        <v>4</v>
      </c>
      <c r="B5" s="57" t="s">
        <v>583</v>
      </c>
      <c r="C5" s="88">
        <f>COUNTIF('Order Book'!E:E,'Resource Performance'!C1)</f>
        <v>1</v>
      </c>
      <c r="F5" s="30"/>
      <c r="G5" s="30"/>
    </row>
    <row r="6" spans="1:10" x14ac:dyDescent="0.2">
      <c r="A6" s="15">
        <v>5</v>
      </c>
      <c r="B6" s="57" t="s">
        <v>584</v>
      </c>
      <c r="C6" s="35">
        <v>0.02</v>
      </c>
      <c r="F6"/>
    </row>
    <row r="7" spans="1:10" x14ac:dyDescent="0.2">
      <c r="A7" s="15"/>
      <c r="B7" s="57"/>
      <c r="C7" s="35"/>
    </row>
    <row r="9" spans="1:10" x14ac:dyDescent="0.2">
      <c r="A9" s="21" t="s">
        <v>1</v>
      </c>
      <c r="B9" s="22" t="s">
        <v>2</v>
      </c>
      <c r="C9" s="22" t="s">
        <v>3</v>
      </c>
      <c r="D9" s="20" t="s">
        <v>585</v>
      </c>
      <c r="E9" s="20" t="s">
        <v>206</v>
      </c>
      <c r="F9" s="22" t="s">
        <v>586</v>
      </c>
      <c r="G9" s="22" t="s">
        <v>587</v>
      </c>
      <c r="H9" s="22" t="s">
        <v>584</v>
      </c>
    </row>
    <row r="10" spans="1:10" x14ac:dyDescent="0.2">
      <c r="A10" s="32">
        <v>45901</v>
      </c>
      <c r="B10" t="str">
        <f>TEXT(DATE(C10,MONTH(A10),DAY(A10)),"MMMM")</f>
        <v>September</v>
      </c>
      <c r="C10">
        <v>2025</v>
      </c>
      <c r="D10" s="18">
        <f>SUMIFS('Order Book'!K:K,'Order Book'!E:E,'Resource Performance'!$C$1,'Order Book'!C:C,"&gt;="&amp;'Resource Performance'!A10,'Order Book'!C:C,"&lt;="&amp;EOMONTH('Resource Performance'!A10,0))</f>
        <v>0</v>
      </c>
      <c r="E10" s="18">
        <f>SUMIFS(Income!K:K,Income!F:F,'Resource Performance'!$C$1,Income!C:C,"&gt;="&amp;'Resource Performance'!A10,Income!C:C,"&lt;="&amp;EOMONTH('Resource Performance'!A10,0))</f>
        <v>0</v>
      </c>
      <c r="F10" s="44">
        <f>D10/$C$4</f>
        <v>0</v>
      </c>
      <c r="H10" s="18">
        <f t="shared" ref="H10:H25" si="0">IF(D10&gt;=$C$4,$C$6*D10,0)</f>
        <v>0</v>
      </c>
    </row>
    <row r="11" spans="1:10" x14ac:dyDescent="0.2">
      <c r="A11" s="32">
        <f>EOMONTH(A10,0)+1</f>
        <v>45931</v>
      </c>
      <c r="B11" t="str">
        <f>TEXT(DATE(C11,MONTH(A11),DAY(A11)),"MMMM")</f>
        <v>October</v>
      </c>
      <c r="C11">
        <v>2025</v>
      </c>
      <c r="D11" s="18">
        <f>SUMIFS('Order Book'!K:K,'Order Book'!E:E,'Resource Performance'!$C$1,'Order Book'!C:C,"&gt;="&amp;'Resource Performance'!A11,'Order Book'!C:C,"&lt;="&amp;EOMONTH('Resource Performance'!A11,0))</f>
        <v>0</v>
      </c>
      <c r="E11" s="18">
        <f>SUMIFS(Income!K:K,Income!F:F,'Resource Performance'!$C$1,Income!C:C,"&gt;="&amp;'Resource Performance'!A11,Income!C:C,"&lt;="&amp;EOMONTH('Resource Performance'!A11,0))</f>
        <v>0</v>
      </c>
      <c r="F11" s="44">
        <f t="shared" ref="F11:F25" si="1">D11/$C$4</f>
        <v>0</v>
      </c>
      <c r="G11" s="33">
        <f t="shared" ref="G11:G25" si="2">IFERROR((D11/D10)-1,0)</f>
        <v>0</v>
      </c>
      <c r="H11" s="18">
        <f t="shared" si="0"/>
        <v>0</v>
      </c>
      <c r="J11" s="30"/>
    </row>
    <row r="12" spans="1:10" x14ac:dyDescent="0.2">
      <c r="A12" s="32">
        <f t="shared" ref="A12:A24" si="3">EOMONTH(A11,0)+1</f>
        <v>45962</v>
      </c>
      <c r="B12" t="str">
        <f t="shared" ref="B12:B25" si="4">TEXT(DATE(C12,MONTH(A12),DAY(A12)),"MMMM")</f>
        <v>November</v>
      </c>
      <c r="C12">
        <v>2025</v>
      </c>
      <c r="D12" s="18">
        <f>SUMIFS('Order Book'!K:K,'Order Book'!E:E,'Resource Performance'!$C$1,'Order Book'!C:C,"&gt;="&amp;'Resource Performance'!A12,'Order Book'!C:C,"&lt;="&amp;EOMONTH('Resource Performance'!A12,0))</f>
        <v>0</v>
      </c>
      <c r="E12" s="18">
        <f>SUMIFS(Income!K:K,Income!F:F,'Resource Performance'!$C$1,Income!C:C,"&gt;="&amp;'Resource Performance'!A12,Income!C:C,"&lt;="&amp;EOMONTH('Resource Performance'!A12,0))</f>
        <v>0</v>
      </c>
      <c r="F12" s="44">
        <f t="shared" si="1"/>
        <v>0</v>
      </c>
      <c r="G12" s="33">
        <f t="shared" si="2"/>
        <v>0</v>
      </c>
      <c r="H12" s="18">
        <f t="shared" si="0"/>
        <v>0</v>
      </c>
    </row>
    <row r="13" spans="1:10" x14ac:dyDescent="0.2">
      <c r="A13" s="32">
        <f t="shared" si="3"/>
        <v>45992</v>
      </c>
      <c r="B13" t="str">
        <f t="shared" si="4"/>
        <v>December</v>
      </c>
      <c r="C13">
        <v>2025</v>
      </c>
      <c r="D13" s="18">
        <f>SUMIFS('Order Book'!K:K,'Order Book'!E:E,'Resource Performance'!$C$1,'Order Book'!C:C,"&gt;="&amp;'Resource Performance'!A13,'Order Book'!C:C,"&lt;="&amp;EOMONTH('Resource Performance'!A13,0))</f>
        <v>0</v>
      </c>
      <c r="E13" s="18">
        <f>SUMIFS(Income!K:K,Income!F:F,'Resource Performance'!$C$1,Income!C:C,"&gt;="&amp;'Resource Performance'!A13,Income!C:C,"&lt;="&amp;EOMONTH('Resource Performance'!A13,0))</f>
        <v>0</v>
      </c>
      <c r="F13" s="44">
        <f t="shared" si="1"/>
        <v>0</v>
      </c>
      <c r="G13" s="33">
        <f t="shared" si="2"/>
        <v>0</v>
      </c>
      <c r="H13" s="18">
        <f t="shared" si="0"/>
        <v>0</v>
      </c>
    </row>
    <row r="14" spans="1:10" x14ac:dyDescent="0.2">
      <c r="A14" s="32">
        <f t="shared" si="3"/>
        <v>46023</v>
      </c>
      <c r="B14" t="str">
        <f t="shared" si="4"/>
        <v>January</v>
      </c>
      <c r="C14">
        <v>2026</v>
      </c>
      <c r="D14" s="18">
        <f>SUMIFS('Order Book'!K:K,'Order Book'!E:E,'Resource Performance'!$C$1,'Order Book'!C:C,"&gt;="&amp;'Resource Performance'!A14,'Order Book'!C:C,"&lt;="&amp;EOMONTH('Resource Performance'!A14,0))</f>
        <v>0</v>
      </c>
      <c r="E14" s="18">
        <f>SUMIFS(Income!K:K,Income!F:F,'Resource Performance'!$C$1,Income!C:C,"&gt;="&amp;'Resource Performance'!A14,Income!C:C,"&lt;="&amp;EOMONTH('Resource Performance'!A14,0))</f>
        <v>0</v>
      </c>
      <c r="F14" s="44">
        <f t="shared" si="1"/>
        <v>0</v>
      </c>
      <c r="G14" s="33">
        <f t="shared" si="2"/>
        <v>0</v>
      </c>
      <c r="H14" s="18">
        <f t="shared" si="0"/>
        <v>0</v>
      </c>
    </row>
    <row r="15" spans="1:10" x14ac:dyDescent="0.2">
      <c r="A15" s="32">
        <f t="shared" si="3"/>
        <v>46054</v>
      </c>
      <c r="B15" t="str">
        <f t="shared" si="4"/>
        <v>February</v>
      </c>
      <c r="C15">
        <v>2026</v>
      </c>
      <c r="D15" s="18">
        <f>SUMIFS('Order Book'!K:K,'Order Book'!E:E,'Resource Performance'!$C$1,'Order Book'!C:C,"&gt;="&amp;'Resource Performance'!A15,'Order Book'!C:C,"&lt;="&amp;EOMONTH('Resource Performance'!A15,0))</f>
        <v>206500</v>
      </c>
      <c r="E15" s="18">
        <f>SUMIFS(Income!K:K,Income!F:F,'Resource Performance'!$C$1,Income!C:C,"&gt;="&amp;'Resource Performance'!A15,Income!C:C,"&lt;="&amp;EOMONTH('Resource Performance'!A15,0))</f>
        <v>82600</v>
      </c>
      <c r="F15" s="44">
        <f t="shared" si="1"/>
        <v>0.41717171717171719</v>
      </c>
      <c r="G15" s="33">
        <f t="shared" si="2"/>
        <v>0</v>
      </c>
      <c r="H15" s="18">
        <f t="shared" si="0"/>
        <v>0</v>
      </c>
    </row>
    <row r="16" spans="1:10" x14ac:dyDescent="0.2">
      <c r="A16" s="32">
        <f t="shared" si="3"/>
        <v>46082</v>
      </c>
      <c r="B16" t="str">
        <f t="shared" si="4"/>
        <v>March</v>
      </c>
      <c r="C16">
        <v>2026</v>
      </c>
      <c r="D16" s="18">
        <f>SUMIFS('Order Book'!K:K,'Order Book'!E:E,'Resource Performance'!$C$1,'Order Book'!C:C,"&gt;="&amp;'Resource Performance'!A16,'Order Book'!C:C,"&lt;="&amp;EOMONTH('Resource Performance'!A16,0))</f>
        <v>0</v>
      </c>
      <c r="E16" s="18">
        <f>SUMIFS(Income!K:K,Income!F:F,'Resource Performance'!$C$1,Income!C:C,"&gt;="&amp;'Resource Performance'!A16,Income!C:C,"&lt;="&amp;EOMONTH('Resource Performance'!A16,0))</f>
        <v>0</v>
      </c>
      <c r="F16" s="44">
        <f t="shared" si="1"/>
        <v>0</v>
      </c>
      <c r="G16" s="33">
        <f t="shared" si="2"/>
        <v>-1</v>
      </c>
      <c r="H16" s="18">
        <f t="shared" si="0"/>
        <v>0</v>
      </c>
    </row>
    <row r="17" spans="1:8" x14ac:dyDescent="0.2">
      <c r="A17" s="32">
        <f t="shared" si="3"/>
        <v>46113</v>
      </c>
      <c r="B17" t="str">
        <f t="shared" si="4"/>
        <v>April</v>
      </c>
      <c r="C17">
        <v>2026</v>
      </c>
      <c r="D17" s="18">
        <f>SUMIFS('Order Book'!K:K,'Order Book'!E:E,'Resource Performance'!$C$1,'Order Book'!C:C,"&gt;="&amp;'Resource Performance'!A17,'Order Book'!C:C,"&lt;="&amp;EOMONTH('Resource Performance'!A17,0))</f>
        <v>0</v>
      </c>
      <c r="E17" s="18">
        <f>SUMIFS(Income!K:K,Income!F:F,'Resource Performance'!$C$1,Income!C:C,"&gt;="&amp;'Resource Performance'!A17,Income!C:C,"&lt;="&amp;EOMONTH('Resource Performance'!A17,0))</f>
        <v>0</v>
      </c>
      <c r="F17" s="44">
        <f t="shared" si="1"/>
        <v>0</v>
      </c>
      <c r="G17" s="33">
        <f t="shared" si="2"/>
        <v>0</v>
      </c>
      <c r="H17" s="18">
        <f t="shared" si="0"/>
        <v>0</v>
      </c>
    </row>
    <row r="18" spans="1:8" x14ac:dyDescent="0.2">
      <c r="A18" s="32">
        <f t="shared" si="3"/>
        <v>46143</v>
      </c>
      <c r="B18" t="str">
        <f t="shared" si="4"/>
        <v>May</v>
      </c>
      <c r="C18">
        <v>2026</v>
      </c>
      <c r="D18" s="18">
        <f>SUMIFS('Order Book'!K:K,'Order Book'!E:E,'Resource Performance'!$C$1,'Order Book'!C:C,"&gt;="&amp;'Resource Performance'!A18,'Order Book'!C:C,"&lt;="&amp;EOMONTH('Resource Performance'!A18,0))</f>
        <v>0</v>
      </c>
      <c r="E18" s="18">
        <f>SUMIFS(Income!K:K,Income!F:F,'Resource Performance'!$C$1,Income!C:C,"&gt;="&amp;'Resource Performance'!A18,Income!C:C,"&lt;="&amp;EOMONTH('Resource Performance'!A18,0))</f>
        <v>0</v>
      </c>
      <c r="F18" s="44">
        <f t="shared" si="1"/>
        <v>0</v>
      </c>
      <c r="G18" s="33">
        <f t="shared" si="2"/>
        <v>0</v>
      </c>
      <c r="H18" s="18">
        <f t="shared" si="0"/>
        <v>0</v>
      </c>
    </row>
    <row r="19" spans="1:8" x14ac:dyDescent="0.2">
      <c r="A19" s="32">
        <f t="shared" si="3"/>
        <v>46174</v>
      </c>
      <c r="B19" t="str">
        <f t="shared" si="4"/>
        <v>June</v>
      </c>
      <c r="C19">
        <v>2026</v>
      </c>
      <c r="D19" s="18">
        <f>SUMIFS('Order Book'!K:K,'Order Book'!E:E,'Resource Performance'!$C$1,'Order Book'!C:C,"&gt;="&amp;'Resource Performance'!A19,'Order Book'!C:C,"&lt;="&amp;EOMONTH('Resource Performance'!A19,0))</f>
        <v>0</v>
      </c>
      <c r="E19" s="18">
        <f>SUMIFS(Income!K:K,Income!F:F,'Resource Performance'!$C$1,Income!C:C,"&gt;="&amp;'Resource Performance'!A19,Income!C:C,"&lt;="&amp;EOMONTH('Resource Performance'!A19,0))</f>
        <v>0</v>
      </c>
      <c r="F19" s="44">
        <f t="shared" si="1"/>
        <v>0</v>
      </c>
      <c r="G19" s="33">
        <f t="shared" si="2"/>
        <v>0</v>
      </c>
      <c r="H19" s="18">
        <f t="shared" si="0"/>
        <v>0</v>
      </c>
    </row>
    <row r="20" spans="1:8" x14ac:dyDescent="0.2">
      <c r="A20" s="32">
        <f t="shared" si="3"/>
        <v>46204</v>
      </c>
      <c r="B20" t="str">
        <f t="shared" si="4"/>
        <v>July</v>
      </c>
      <c r="C20">
        <v>2026</v>
      </c>
      <c r="D20" s="18">
        <f>SUMIFS('Order Book'!K:K,'Order Book'!E:E,'Resource Performance'!$C$1,'Order Book'!C:C,"&gt;="&amp;'Resource Performance'!A20,'Order Book'!C:C,"&lt;="&amp;EOMONTH('Resource Performance'!A20,0))</f>
        <v>0</v>
      </c>
      <c r="E20" s="18">
        <f>SUMIFS(Income!K:K,Income!F:F,'Resource Performance'!$C$1,Income!C:C,"&gt;="&amp;'Resource Performance'!A20,Income!C:C,"&lt;="&amp;EOMONTH('Resource Performance'!A20,0))</f>
        <v>0</v>
      </c>
      <c r="F20" s="44">
        <f t="shared" si="1"/>
        <v>0</v>
      </c>
      <c r="G20" s="33">
        <f t="shared" si="2"/>
        <v>0</v>
      </c>
      <c r="H20" s="18">
        <f t="shared" si="0"/>
        <v>0</v>
      </c>
    </row>
    <row r="21" spans="1:8" x14ac:dyDescent="0.2">
      <c r="A21" s="32">
        <f t="shared" si="3"/>
        <v>46235</v>
      </c>
      <c r="B21" t="str">
        <f t="shared" si="4"/>
        <v>August</v>
      </c>
      <c r="C21">
        <v>2026</v>
      </c>
      <c r="D21" s="18">
        <f>SUMIFS('Order Book'!K:K,'Order Book'!E:E,'Resource Performance'!$C$1,'Order Book'!C:C,"&gt;="&amp;'Resource Performance'!A21,'Order Book'!C:C,"&lt;="&amp;EOMONTH('Resource Performance'!A21,0))</f>
        <v>0</v>
      </c>
      <c r="E21" s="18">
        <f>SUMIFS(Income!K:K,Income!F:F,'Resource Performance'!$C$1,Income!C:C,"&gt;="&amp;'Resource Performance'!A21,Income!C:C,"&lt;="&amp;EOMONTH('Resource Performance'!A21,0))</f>
        <v>0</v>
      </c>
      <c r="F21" s="44">
        <f t="shared" si="1"/>
        <v>0</v>
      </c>
      <c r="G21" s="33">
        <f t="shared" si="2"/>
        <v>0</v>
      </c>
      <c r="H21" s="18">
        <f t="shared" si="0"/>
        <v>0</v>
      </c>
    </row>
    <row r="22" spans="1:8" x14ac:dyDescent="0.2">
      <c r="A22" s="32">
        <f t="shared" si="3"/>
        <v>46266</v>
      </c>
      <c r="B22" t="str">
        <f t="shared" si="4"/>
        <v>September</v>
      </c>
      <c r="C22">
        <v>2026</v>
      </c>
      <c r="D22" s="18">
        <f>SUMIFS('Order Book'!K:K,'Order Book'!E:E,'Resource Performance'!$C$1,'Order Book'!C:C,"&gt;="&amp;'Resource Performance'!A22,'Order Book'!C:C,"&lt;="&amp;EOMONTH('Resource Performance'!A22,0))</f>
        <v>0</v>
      </c>
      <c r="E22" s="18">
        <f>SUMIFS(Income!K:K,Income!F:F,'Resource Performance'!$C$1,Income!C:C,"&gt;="&amp;'Resource Performance'!A22,Income!C:C,"&lt;="&amp;EOMONTH('Resource Performance'!A22,0))</f>
        <v>0</v>
      </c>
      <c r="F22" s="44">
        <f t="shared" si="1"/>
        <v>0</v>
      </c>
      <c r="G22" s="33">
        <f t="shared" si="2"/>
        <v>0</v>
      </c>
      <c r="H22" s="18">
        <f t="shared" si="0"/>
        <v>0</v>
      </c>
    </row>
    <row r="23" spans="1:8" x14ac:dyDescent="0.2">
      <c r="A23" s="32">
        <f t="shared" si="3"/>
        <v>46296</v>
      </c>
      <c r="B23" t="str">
        <f t="shared" si="4"/>
        <v>October</v>
      </c>
      <c r="C23">
        <v>2026</v>
      </c>
      <c r="D23" s="18">
        <f>SUMIFS('Order Book'!K:K,'Order Book'!E:E,'Resource Performance'!$C$1,'Order Book'!C:C,"&gt;="&amp;'Resource Performance'!A23,'Order Book'!C:C,"&lt;="&amp;EOMONTH('Resource Performance'!A23,0))</f>
        <v>0</v>
      </c>
      <c r="E23" s="18">
        <f>SUMIFS(Income!K:K,Income!F:F,'Resource Performance'!$C$1,Income!C:C,"&gt;="&amp;'Resource Performance'!A23,Income!C:C,"&lt;="&amp;EOMONTH('Resource Performance'!A23,0))</f>
        <v>0</v>
      </c>
      <c r="F23" s="44">
        <f t="shared" si="1"/>
        <v>0</v>
      </c>
      <c r="G23" s="33">
        <f t="shared" si="2"/>
        <v>0</v>
      </c>
      <c r="H23" s="18">
        <f t="shared" si="0"/>
        <v>0</v>
      </c>
    </row>
    <row r="24" spans="1:8" x14ac:dyDescent="0.2">
      <c r="A24" s="32">
        <f t="shared" si="3"/>
        <v>46327</v>
      </c>
      <c r="B24" t="str">
        <f t="shared" si="4"/>
        <v>November</v>
      </c>
      <c r="C24">
        <v>2026</v>
      </c>
      <c r="D24" s="18">
        <f>SUMIFS('Order Book'!K:K,'Order Book'!E:E,'Resource Performance'!$C$1,'Order Book'!C:C,"&gt;="&amp;'Resource Performance'!A24,'Order Book'!C:C,"&lt;="&amp;EOMONTH('Resource Performance'!A24,0))</f>
        <v>0</v>
      </c>
      <c r="E24" s="18">
        <f>SUMIFS(Income!K:K,Income!F:F,'Resource Performance'!$C$1,Income!C:C,"&gt;="&amp;'Resource Performance'!A24,Income!C:C,"&lt;="&amp;EOMONTH('Resource Performance'!A24,0))</f>
        <v>0</v>
      </c>
      <c r="F24" s="44">
        <f t="shared" si="1"/>
        <v>0</v>
      </c>
      <c r="G24" s="33">
        <f t="shared" si="2"/>
        <v>0</v>
      </c>
      <c r="H24" s="18">
        <f t="shared" si="0"/>
        <v>0</v>
      </c>
    </row>
    <row r="25" spans="1:8" x14ac:dyDescent="0.2">
      <c r="A25" s="32">
        <f t="shared" ref="A25" si="5">EOMONTH(A24,0)+1</f>
        <v>46357</v>
      </c>
      <c r="B25" t="str">
        <f t="shared" si="4"/>
        <v>December</v>
      </c>
      <c r="C25">
        <v>2026</v>
      </c>
      <c r="D25" s="18">
        <f>SUMIFS('Order Book'!K:K,'Order Book'!E:E,'Resource Performance'!$C$1,'Order Book'!C:C,"&gt;="&amp;'Resource Performance'!A25,'Order Book'!C:C,"&lt;="&amp;EOMONTH('Resource Performance'!A25,0))</f>
        <v>0</v>
      </c>
      <c r="E25" s="18">
        <f>SUMIFS(Income!K:K,Income!F:F,'Resource Performance'!$C$1,Income!C:C,"&gt;="&amp;'Resource Performance'!A25,Income!C:C,"&lt;="&amp;EOMONTH('Resource Performance'!A25,0))</f>
        <v>0</v>
      </c>
      <c r="F25" s="44">
        <f t="shared" si="1"/>
        <v>0</v>
      </c>
      <c r="G25" s="33">
        <f t="shared" si="2"/>
        <v>0</v>
      </c>
      <c r="H25" s="18">
        <f t="shared" si="0"/>
        <v>0</v>
      </c>
    </row>
    <row r="26" spans="1:8" x14ac:dyDescent="0.2">
      <c r="H26" s="18"/>
    </row>
    <row r="27" spans="1:8" ht="13.5" thickBot="1" x14ac:dyDescent="0.25">
      <c r="C27" s="43" t="s">
        <v>588</v>
      </c>
      <c r="D27" s="62">
        <f t="shared" ref="D27" si="6">SUM(D10:D26)</f>
        <v>206500</v>
      </c>
      <c r="E27" s="118">
        <f>SUM(E10:E26)</f>
        <v>82600</v>
      </c>
      <c r="H27" s="62">
        <f t="shared" ref="H27" si="7">SUM(H10:H26)</f>
        <v>0</v>
      </c>
    </row>
    <row r="28" spans="1:8" ht="13.5" thickTop="1" x14ac:dyDescent="0.2"/>
  </sheetData>
  <mergeCells count="1">
    <mergeCell ref="A1:B1"/>
  </mergeCells>
  <conditionalFormatting sqref="G11:G2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{3D48F2AE-B010-48E6-88D2-295E1D6ED985}</x14:id>
        </ext>
      </extLst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48F2AE-B010-48E6-88D2-295E1D6ED9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G11:G25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481D11-121C-4CB4-A922-4436C197FDB0}">
          <x14:formula1>
            <xm:f>Validations!$B$2:$B$7</xm:f>
          </x14:formula1>
          <xm:sqref>C1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2A24-B477-4995-A28D-A64005F7C849}">
  <dimension ref="A2:E39"/>
  <sheetViews>
    <sheetView zoomScale="130" zoomScaleNormal="130" workbookViewId="0">
      <selection activeCell="G25" sqref="G25"/>
    </sheetView>
  </sheetViews>
  <sheetFormatPr defaultRowHeight="12.75" x14ac:dyDescent="0.2"/>
  <cols>
    <col min="1" max="1" width="35.5703125" bestFit="1" customWidth="1"/>
    <col min="2" max="2" width="26.28515625" bestFit="1" customWidth="1"/>
    <col min="3" max="3" width="21" bestFit="1" customWidth="1"/>
    <col min="4" max="4" width="20" bestFit="1" customWidth="1"/>
    <col min="5" max="5" width="14.5703125" bestFit="1" customWidth="1"/>
  </cols>
  <sheetData>
    <row r="2" spans="1:4" x14ac:dyDescent="0.2">
      <c r="A2" s="61" t="s">
        <v>95</v>
      </c>
      <c r="B2" t="s">
        <v>589</v>
      </c>
      <c r="C2" t="s">
        <v>590</v>
      </c>
      <c r="D2" t="s">
        <v>591</v>
      </c>
    </row>
    <row r="3" spans="1:4" x14ac:dyDescent="0.2">
      <c r="A3" s="17" t="s">
        <v>186</v>
      </c>
      <c r="B3" s="30">
        <v>400000</v>
      </c>
      <c r="C3" s="86">
        <v>100000</v>
      </c>
      <c r="D3" s="86">
        <v>300000</v>
      </c>
    </row>
    <row r="4" spans="1:4" x14ac:dyDescent="0.2">
      <c r="A4" s="59" t="s">
        <v>100</v>
      </c>
      <c r="B4" s="30">
        <v>250000</v>
      </c>
      <c r="C4" s="86">
        <v>50000</v>
      </c>
      <c r="D4" s="137">
        <v>200000</v>
      </c>
    </row>
    <row r="5" spans="1:4" x14ac:dyDescent="0.2">
      <c r="A5" s="17" t="s">
        <v>149</v>
      </c>
      <c r="B5" s="30">
        <v>220000</v>
      </c>
      <c r="C5" s="86">
        <v>50000</v>
      </c>
      <c r="D5" s="137">
        <v>170000</v>
      </c>
    </row>
    <row r="6" spans="1:4" x14ac:dyDescent="0.2">
      <c r="A6" s="17" t="s">
        <v>192</v>
      </c>
      <c r="B6" s="30">
        <v>190000</v>
      </c>
      <c r="C6" s="86">
        <v>57000</v>
      </c>
      <c r="D6" s="86">
        <v>133000</v>
      </c>
    </row>
    <row r="7" spans="1:4" x14ac:dyDescent="0.2">
      <c r="A7" s="17" t="s">
        <v>166</v>
      </c>
      <c r="B7" s="30">
        <v>150000</v>
      </c>
      <c r="C7" s="86">
        <v>35000</v>
      </c>
      <c r="D7" s="137">
        <v>115000</v>
      </c>
    </row>
    <row r="8" spans="1:4" x14ac:dyDescent="0.2">
      <c r="A8" s="17" t="s">
        <v>177</v>
      </c>
      <c r="B8" s="30">
        <v>104000</v>
      </c>
      <c r="C8" s="86">
        <v>10000</v>
      </c>
      <c r="D8" s="86">
        <v>94000</v>
      </c>
    </row>
    <row r="9" spans="1:4" x14ac:dyDescent="0.2">
      <c r="A9" s="17" t="s">
        <v>151</v>
      </c>
      <c r="B9" s="30">
        <v>225000</v>
      </c>
      <c r="C9" s="86">
        <v>142111.32</v>
      </c>
      <c r="D9" s="137">
        <v>82888.679999999993</v>
      </c>
    </row>
    <row r="10" spans="1:4" x14ac:dyDescent="0.2">
      <c r="A10" s="17" t="s">
        <v>592</v>
      </c>
      <c r="B10" s="30">
        <v>80000</v>
      </c>
      <c r="C10" s="86">
        <v>0</v>
      </c>
      <c r="D10" s="86">
        <v>80000</v>
      </c>
    </row>
    <row r="11" spans="1:4" x14ac:dyDescent="0.2">
      <c r="A11" s="17" t="s">
        <v>120</v>
      </c>
      <c r="B11" s="30">
        <v>600000</v>
      </c>
      <c r="C11" s="86">
        <v>520001</v>
      </c>
      <c r="D11" s="137">
        <v>79999</v>
      </c>
    </row>
    <row r="12" spans="1:4" x14ac:dyDescent="0.2">
      <c r="A12" s="17" t="s">
        <v>144</v>
      </c>
      <c r="B12" s="30">
        <v>150000</v>
      </c>
      <c r="C12" s="86">
        <v>75000</v>
      </c>
      <c r="D12" s="137">
        <v>75000</v>
      </c>
    </row>
    <row r="13" spans="1:4" x14ac:dyDescent="0.2">
      <c r="A13" s="17" t="s">
        <v>139</v>
      </c>
      <c r="B13" s="30">
        <v>85000</v>
      </c>
      <c r="C13" s="86">
        <v>11000</v>
      </c>
      <c r="D13" s="86">
        <v>74000</v>
      </c>
    </row>
    <row r="14" spans="1:4" x14ac:dyDescent="0.2">
      <c r="A14" s="17" t="s">
        <v>154</v>
      </c>
      <c r="B14" s="30">
        <v>200000</v>
      </c>
      <c r="C14" s="86">
        <v>140000</v>
      </c>
      <c r="D14" s="137">
        <v>60000</v>
      </c>
    </row>
    <row r="15" spans="1:4" x14ac:dyDescent="0.2">
      <c r="A15" s="17" t="s">
        <v>171</v>
      </c>
      <c r="B15" s="30">
        <v>100000</v>
      </c>
      <c r="C15" s="86">
        <v>50000</v>
      </c>
      <c r="D15" s="86">
        <v>50000</v>
      </c>
    </row>
    <row r="16" spans="1:4" x14ac:dyDescent="0.2">
      <c r="A16" s="17" t="s">
        <v>169</v>
      </c>
      <c r="B16" s="30">
        <v>165000</v>
      </c>
      <c r="C16" s="86">
        <v>115500</v>
      </c>
      <c r="D16" s="137">
        <v>49500</v>
      </c>
    </row>
    <row r="17" spans="1:4" x14ac:dyDescent="0.2">
      <c r="A17" s="17" t="s">
        <v>146</v>
      </c>
      <c r="B17" s="30">
        <v>160000</v>
      </c>
      <c r="C17" s="86">
        <v>120000</v>
      </c>
      <c r="D17" s="137">
        <v>40000</v>
      </c>
    </row>
    <row r="18" spans="1:4" x14ac:dyDescent="0.2">
      <c r="A18" s="17" t="s">
        <v>133</v>
      </c>
      <c r="B18" s="30">
        <v>108000</v>
      </c>
      <c r="C18" s="86">
        <v>73000</v>
      </c>
      <c r="D18" s="86">
        <v>35000</v>
      </c>
    </row>
    <row r="19" spans="1:4" x14ac:dyDescent="0.2">
      <c r="A19" s="17" t="s">
        <v>179</v>
      </c>
      <c r="B19" s="30">
        <v>85000</v>
      </c>
      <c r="C19" s="86">
        <v>50000</v>
      </c>
      <c r="D19" s="86">
        <v>35000</v>
      </c>
    </row>
    <row r="20" spans="1:4" x14ac:dyDescent="0.2">
      <c r="A20" s="17" t="s">
        <v>593</v>
      </c>
      <c r="B20" s="30">
        <v>31000</v>
      </c>
      <c r="C20" s="86">
        <v>0</v>
      </c>
      <c r="D20" s="86">
        <v>31000</v>
      </c>
    </row>
    <row r="21" spans="1:4" ht="11.65" customHeight="1" x14ac:dyDescent="0.2">
      <c r="A21" s="17" t="s">
        <v>137</v>
      </c>
      <c r="B21" s="30">
        <v>100000</v>
      </c>
      <c r="C21" s="86">
        <v>70000</v>
      </c>
      <c r="D21" s="86">
        <v>30000</v>
      </c>
    </row>
    <row r="22" spans="1:4" x14ac:dyDescent="0.2">
      <c r="A22" s="17" t="s">
        <v>189</v>
      </c>
      <c r="B22" s="30">
        <v>50000</v>
      </c>
      <c r="C22" s="86">
        <v>25000</v>
      </c>
      <c r="D22" s="86">
        <v>25000</v>
      </c>
    </row>
    <row r="23" spans="1:4" x14ac:dyDescent="0.2">
      <c r="A23" s="17" t="s">
        <v>159</v>
      </c>
      <c r="B23" s="30">
        <v>80000</v>
      </c>
      <c r="C23" s="86">
        <v>56000</v>
      </c>
      <c r="D23" s="86">
        <v>24000</v>
      </c>
    </row>
    <row r="24" spans="1:4" x14ac:dyDescent="0.2">
      <c r="A24" s="17" t="s">
        <v>135</v>
      </c>
      <c r="B24" s="30">
        <v>75000</v>
      </c>
      <c r="C24" s="86">
        <v>52500</v>
      </c>
      <c r="D24" s="86">
        <v>22500</v>
      </c>
    </row>
    <row r="25" spans="1:4" x14ac:dyDescent="0.2">
      <c r="A25" s="17" t="s">
        <v>142</v>
      </c>
      <c r="B25" s="30">
        <v>25000</v>
      </c>
      <c r="C25" s="86">
        <v>7000</v>
      </c>
      <c r="D25" s="86">
        <v>18000</v>
      </c>
    </row>
    <row r="26" spans="1:4" x14ac:dyDescent="0.2">
      <c r="A26" s="17" t="s">
        <v>190</v>
      </c>
      <c r="B26" s="30">
        <v>15000</v>
      </c>
      <c r="C26" s="86">
        <v>0</v>
      </c>
      <c r="D26" s="86">
        <v>15000</v>
      </c>
    </row>
    <row r="27" spans="1:4" x14ac:dyDescent="0.2">
      <c r="A27" s="17" t="s">
        <v>156</v>
      </c>
      <c r="B27" s="30">
        <v>212500</v>
      </c>
      <c r="C27" s="86">
        <v>205000</v>
      </c>
      <c r="D27" s="137">
        <v>7500</v>
      </c>
    </row>
    <row r="28" spans="1:4" x14ac:dyDescent="0.2">
      <c r="A28" s="17" t="s">
        <v>163</v>
      </c>
      <c r="B28" s="30">
        <v>100000</v>
      </c>
      <c r="C28" s="86">
        <v>100000</v>
      </c>
      <c r="D28" s="86">
        <v>0</v>
      </c>
    </row>
    <row r="29" spans="1:4" x14ac:dyDescent="0.2">
      <c r="A29" s="17" t="s">
        <v>112</v>
      </c>
      <c r="B29" s="30">
        <v>40000</v>
      </c>
      <c r="C29" s="86">
        <v>40000</v>
      </c>
      <c r="D29" s="86">
        <v>0</v>
      </c>
    </row>
    <row r="30" spans="1:4" x14ac:dyDescent="0.2">
      <c r="A30" s="17" t="s">
        <v>594</v>
      </c>
      <c r="B30" s="30">
        <v>0</v>
      </c>
      <c r="C30" s="86">
        <v>0</v>
      </c>
      <c r="D30" s="86">
        <v>0</v>
      </c>
    </row>
    <row r="31" spans="1:4" x14ac:dyDescent="0.2">
      <c r="A31" s="17" t="s">
        <v>174</v>
      </c>
      <c r="B31" s="30">
        <v>15000</v>
      </c>
      <c r="C31" s="86">
        <v>15000</v>
      </c>
      <c r="D31" s="92">
        <v>0</v>
      </c>
    </row>
    <row r="32" spans="1:4" x14ac:dyDescent="0.2">
      <c r="A32" s="17" t="s">
        <v>183</v>
      </c>
      <c r="B32" s="30">
        <v>60000</v>
      </c>
      <c r="C32" s="86">
        <v>60000</v>
      </c>
      <c r="D32" s="86">
        <v>0</v>
      </c>
    </row>
    <row r="33" spans="1:5" x14ac:dyDescent="0.2">
      <c r="A33" s="17" t="s">
        <v>107</v>
      </c>
      <c r="B33" s="30">
        <v>72500</v>
      </c>
      <c r="C33" s="86">
        <v>72500</v>
      </c>
      <c r="D33" s="86">
        <v>0</v>
      </c>
    </row>
    <row r="34" spans="1:5" x14ac:dyDescent="0.2">
      <c r="A34" s="17" t="s">
        <v>115</v>
      </c>
      <c r="B34" s="30">
        <v>25000</v>
      </c>
      <c r="C34" s="86">
        <v>25000</v>
      </c>
      <c r="D34" s="86">
        <v>0</v>
      </c>
    </row>
    <row r="35" spans="1:5" x14ac:dyDescent="0.2">
      <c r="A35" s="17" t="s">
        <v>184</v>
      </c>
      <c r="B35" s="30">
        <v>25000</v>
      </c>
      <c r="C35" s="86">
        <v>25000</v>
      </c>
      <c r="D35" s="86">
        <v>0</v>
      </c>
    </row>
    <row r="36" spans="1:5" x14ac:dyDescent="0.2">
      <c r="A36" s="59" t="s">
        <v>141</v>
      </c>
      <c r="B36" s="30">
        <v>30000</v>
      </c>
      <c r="C36" s="86">
        <v>30000</v>
      </c>
      <c r="D36" s="86">
        <v>0</v>
      </c>
    </row>
    <row r="37" spans="1:5" x14ac:dyDescent="0.2">
      <c r="A37" s="17" t="s">
        <v>126</v>
      </c>
      <c r="B37" s="30">
        <v>160000</v>
      </c>
      <c r="C37" s="86">
        <v>160000</v>
      </c>
      <c r="D37" s="86">
        <v>0</v>
      </c>
    </row>
    <row r="38" spans="1:5" x14ac:dyDescent="0.2">
      <c r="A38" s="17" t="s">
        <v>130</v>
      </c>
      <c r="B38" s="30">
        <v>20000</v>
      </c>
      <c r="C38" s="86">
        <v>20000</v>
      </c>
      <c r="D38" s="86">
        <v>0</v>
      </c>
      <c r="E38" s="18"/>
    </row>
    <row r="39" spans="1:5" x14ac:dyDescent="0.2">
      <c r="A39" s="17" t="s">
        <v>124</v>
      </c>
      <c r="B39" s="30">
        <v>4408000</v>
      </c>
      <c r="C39" s="86">
        <v>2561612.3200000003</v>
      </c>
      <c r="D39" s="86">
        <v>1846387.68</v>
      </c>
    </row>
  </sheetData>
  <pageMargins left="0.7" right="0.7" top="0.75" bottom="0.75" header="0.3" footer="0.3"/>
  <pageSetup paperSize="9" orientation="portrait" horizontalDpi="4294967293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996"/>
  <sheetViews>
    <sheetView tabSelected="1" zoomScaleNormal="100" workbookViewId="0">
      <pane ySplit="1" topLeftCell="A17" activePane="bottomLeft" state="frozen"/>
      <selection pane="bottomLeft" activeCell="C29" sqref="A29:P40"/>
    </sheetView>
  </sheetViews>
  <sheetFormatPr defaultColWidth="12.5703125" defaultRowHeight="15.75" customHeight="1" x14ac:dyDescent="0.2"/>
  <cols>
    <col min="1" max="1" width="9.7109375" bestFit="1" customWidth="1"/>
    <col min="2" max="2" width="10.85546875" bestFit="1" customWidth="1"/>
    <col min="3" max="3" width="12.140625" bestFit="1" customWidth="1"/>
    <col min="4" max="4" width="23.85546875" style="16" bestFit="1" customWidth="1"/>
    <col min="5" max="5" width="13.140625" style="16" bestFit="1" customWidth="1"/>
    <col min="6" max="6" width="14.140625" bestFit="1" customWidth="1"/>
    <col min="7" max="7" width="20.7109375" bestFit="1" customWidth="1"/>
    <col min="8" max="8" width="35.5703125" bestFit="1" customWidth="1"/>
    <col min="9" max="9" width="17.5703125" bestFit="1" customWidth="1"/>
    <col min="10" max="10" width="11.140625" bestFit="1" customWidth="1"/>
    <col min="11" max="11" width="18.140625" style="18" bestFit="1" customWidth="1"/>
    <col min="12" max="12" width="12.5703125" style="18" bestFit="1" customWidth="1"/>
    <col min="13" max="13" width="21.28515625" style="18" bestFit="1" customWidth="1"/>
    <col min="14" max="14" width="16.140625" style="18" bestFit="1" customWidth="1"/>
    <col min="15" max="15" width="15" style="18" bestFit="1" customWidth="1"/>
    <col min="16" max="16" width="11.85546875" bestFit="1" customWidth="1"/>
    <col min="17" max="17" width="33" bestFit="1" customWidth="1"/>
    <col min="18" max="18" width="16.140625" bestFit="1" customWidth="1"/>
    <col min="19" max="19" width="26.140625" bestFit="1" customWidth="1"/>
    <col min="20" max="20" width="16.28515625" bestFit="1" customWidth="1"/>
    <col min="21" max="21" width="6.85546875" bestFit="1" customWidth="1"/>
  </cols>
  <sheetData>
    <row r="1" spans="1:21" ht="12.75" x14ac:dyDescent="0.2">
      <c r="A1" s="49" t="s">
        <v>0</v>
      </c>
      <c r="B1" s="50" t="s">
        <v>29</v>
      </c>
      <c r="C1" s="50" t="s">
        <v>595</v>
      </c>
      <c r="D1" s="64" t="s">
        <v>90</v>
      </c>
      <c r="E1" s="64" t="s">
        <v>91</v>
      </c>
      <c r="F1" s="65" t="s">
        <v>85</v>
      </c>
      <c r="G1" s="65" t="s">
        <v>596</v>
      </c>
      <c r="H1" s="51" t="s">
        <v>92</v>
      </c>
      <c r="I1" s="51" t="s">
        <v>87</v>
      </c>
      <c r="J1" s="51" t="s">
        <v>88</v>
      </c>
      <c r="K1" s="52" t="s">
        <v>597</v>
      </c>
      <c r="L1" s="51" t="s">
        <v>598</v>
      </c>
      <c r="M1" s="51" t="s">
        <v>599</v>
      </c>
      <c r="N1" s="51" t="s">
        <v>600</v>
      </c>
      <c r="O1" s="51" t="s">
        <v>601</v>
      </c>
      <c r="P1" s="51" t="s">
        <v>204</v>
      </c>
      <c r="Q1" s="152" t="s">
        <v>602</v>
      </c>
      <c r="R1" s="152"/>
      <c r="T1" s="47" t="s">
        <v>596</v>
      </c>
      <c r="U1" s="47" t="s">
        <v>603</v>
      </c>
    </row>
    <row r="2" spans="1:21" ht="12.75" x14ac:dyDescent="0.2">
      <c r="A2" s="1">
        <v>1</v>
      </c>
      <c r="B2" s="57" t="str">
        <f>TEXT(Table1[[#This Row],[Sale Date]], "dddd")</f>
        <v>Monday</v>
      </c>
      <c r="C2" s="69">
        <v>45908</v>
      </c>
      <c r="D2" s="9" t="s">
        <v>98</v>
      </c>
      <c r="E2" s="59" t="s">
        <v>99</v>
      </c>
      <c r="F2" s="70" t="s">
        <v>604</v>
      </c>
      <c r="G2" s="70" t="s">
        <v>605</v>
      </c>
      <c r="H2" s="57" t="s">
        <v>100</v>
      </c>
      <c r="I2" s="57" t="s">
        <v>101</v>
      </c>
      <c r="J2" s="71" t="s">
        <v>102</v>
      </c>
      <c r="K2" s="72">
        <v>250000</v>
      </c>
      <c r="L2" s="27">
        <v>1</v>
      </c>
      <c r="M2" s="27">
        <f>Table1[[#This Row],[Exchange]]*Table1[[#This Row],[Contract Value]]</f>
        <v>250000</v>
      </c>
      <c r="N2" s="27">
        <f>SUMIFS(Income!K:K,Income!G:G,Table1[[#This Row],[Project Name]],Income!E:E,Table1[[#This Row],[Project Type]],Income!H:H,Table1[[#This Row],[Client Name]])</f>
        <v>50000</v>
      </c>
      <c r="O2" s="27">
        <f>Table1[[#This Row],[Contract Value(INR)]]-Table1[[#This Row],[Received(INR)]]</f>
        <v>200000</v>
      </c>
      <c r="P2" s="3"/>
      <c r="Q2" s="58" t="s">
        <v>606</v>
      </c>
      <c r="R2" s="18">
        <f>SUM(M:M)</f>
        <v>4707510</v>
      </c>
      <c r="S2" s="12"/>
      <c r="T2" s="57" t="s">
        <v>605</v>
      </c>
      <c r="U2">
        <f>COUNTIF(G:G,T2)</f>
        <v>14</v>
      </c>
    </row>
    <row r="3" spans="1:21" ht="12.75" x14ac:dyDescent="0.2">
      <c r="A3" s="1">
        <f t="shared" ref="A3:A40" si="0">A2+1</f>
        <v>2</v>
      </c>
      <c r="B3" s="57" t="str">
        <f>TEXT(Table1[[#This Row],[Sale Date]], "dddd")</f>
        <v>Tuesday</v>
      </c>
      <c r="C3" s="69">
        <v>45916</v>
      </c>
      <c r="D3" s="9" t="s">
        <v>106</v>
      </c>
      <c r="E3" s="59" t="s">
        <v>78</v>
      </c>
      <c r="F3" s="70" t="s">
        <v>604</v>
      </c>
      <c r="G3" s="70" t="s">
        <v>607</v>
      </c>
      <c r="H3" s="57" t="s">
        <v>107</v>
      </c>
      <c r="I3" s="57" t="s">
        <v>108</v>
      </c>
      <c r="J3" s="71" t="s">
        <v>102</v>
      </c>
      <c r="K3" s="72">
        <v>60000</v>
      </c>
      <c r="L3" s="27">
        <v>1</v>
      </c>
      <c r="M3" s="27">
        <f>Table1[[#This Row],[Exchange]]*Table1[[#This Row],[Contract Value]]</f>
        <v>60000</v>
      </c>
      <c r="N3" s="27">
        <f>SUMIFS(Income!K:K,Income!G:G,Table1[[#This Row],[Project Name]],Income!E:E,Table1[[#This Row],[Project Type]],Income!H:H,Table1[[#This Row],[Client Name]])</f>
        <v>60000</v>
      </c>
      <c r="O3" s="27">
        <f>Table1[[#This Row],[Contract Value(INR)]]-Table1[[#This Row],[Received(INR)]]</f>
        <v>0</v>
      </c>
      <c r="P3" s="3"/>
      <c r="Q3" t="s">
        <v>608</v>
      </c>
      <c r="R3" s="18">
        <f>SUM(N:N)</f>
        <v>2772222.3200000003</v>
      </c>
      <c r="T3" s="89" t="s">
        <v>607</v>
      </c>
      <c r="U3">
        <f t="shared" ref="U3" si="1">COUNTIF(G:G,T3)</f>
        <v>23</v>
      </c>
    </row>
    <row r="4" spans="1:21" ht="12.75" x14ac:dyDescent="0.2">
      <c r="A4" s="1">
        <f t="shared" si="0"/>
        <v>3</v>
      </c>
      <c r="B4" s="57" t="str">
        <f>TEXT(Table1[[#This Row],[Sale Date]], "dddd")</f>
        <v>Sunday</v>
      </c>
      <c r="C4" s="69">
        <v>45921</v>
      </c>
      <c r="D4" s="9" t="s">
        <v>112</v>
      </c>
      <c r="E4" s="59" t="s">
        <v>105</v>
      </c>
      <c r="F4" s="70" t="s">
        <v>604</v>
      </c>
      <c r="G4" s="70" t="s">
        <v>605</v>
      </c>
      <c r="H4" s="57" t="s">
        <v>112</v>
      </c>
      <c r="I4" s="57" t="s">
        <v>113</v>
      </c>
      <c r="J4" s="71" t="s">
        <v>102</v>
      </c>
      <c r="K4" s="72">
        <v>40000</v>
      </c>
      <c r="L4" s="27">
        <v>1</v>
      </c>
      <c r="M4" s="27">
        <f>Table1[[#This Row],[Exchange]]*Table1[[#This Row],[Contract Value]]</f>
        <v>40000</v>
      </c>
      <c r="N4" s="27">
        <f>SUMIFS(Income!K:K,Income!G:G,Table1[[#This Row],[Project Name]],Income!E:E,Table1[[#This Row],[Project Type]],Income!H:H,Table1[[#This Row],[Client Name]])</f>
        <v>40000</v>
      </c>
      <c r="O4" s="27">
        <f>Table1[[#This Row],[Contract Value(INR)]]-Table1[[#This Row],[Received(INR)]]</f>
        <v>0</v>
      </c>
      <c r="P4" s="3"/>
      <c r="Q4" t="s">
        <v>609</v>
      </c>
      <c r="R4" s="18">
        <f>R2-R3</f>
        <v>1935287.6799999997</v>
      </c>
      <c r="T4" s="57"/>
    </row>
    <row r="5" spans="1:21" ht="15.75" customHeight="1" x14ac:dyDescent="0.2">
      <c r="A5" s="1">
        <f t="shared" si="0"/>
        <v>4</v>
      </c>
      <c r="B5" s="57" t="str">
        <f>TEXT(Table1[[#This Row],[Sale Date]], "dddd")</f>
        <v>Friday</v>
      </c>
      <c r="C5" s="69">
        <v>45926</v>
      </c>
      <c r="D5" s="9" t="s">
        <v>114</v>
      </c>
      <c r="E5" s="59" t="s">
        <v>99</v>
      </c>
      <c r="F5" s="70" t="s">
        <v>604</v>
      </c>
      <c r="G5" s="70" t="s">
        <v>607</v>
      </c>
      <c r="H5" s="57" t="s">
        <v>174</v>
      </c>
      <c r="I5" s="57" t="s">
        <v>175</v>
      </c>
      <c r="J5" s="71" t="s">
        <v>102</v>
      </c>
      <c r="K5" s="72">
        <v>15000</v>
      </c>
      <c r="L5" s="27">
        <v>1</v>
      </c>
      <c r="M5" s="27">
        <f>Table1[[#This Row],[Exchange]]*Table1[[#This Row],[Contract Value]]</f>
        <v>15000</v>
      </c>
      <c r="N5" s="27">
        <f>SUMIFS(Income!K:K,Income!G:G,Table1[[#This Row],[Project Name]],Income!E:E,Table1[[#This Row],[Project Type]],Income!H:H,Table1[[#This Row],[Client Name]])</f>
        <v>15000</v>
      </c>
      <c r="O5" s="27">
        <f>Table1[[#This Row],[Contract Value(INR)]]-Table1[[#This Row],[Received(INR)]]</f>
        <v>0</v>
      </c>
      <c r="P5" s="3"/>
    </row>
    <row r="6" spans="1:21" ht="15.75" customHeight="1" x14ac:dyDescent="0.2">
      <c r="A6" s="1">
        <f t="shared" si="0"/>
        <v>5</v>
      </c>
      <c r="B6" s="57" t="str">
        <f>TEXT(Table1[[#This Row],[Sale Date]], "dddd")</f>
        <v>Friday</v>
      </c>
      <c r="C6" s="69">
        <v>45926</v>
      </c>
      <c r="D6" s="9" t="s">
        <v>114</v>
      </c>
      <c r="E6" s="59" t="s">
        <v>99</v>
      </c>
      <c r="F6" s="70" t="s">
        <v>604</v>
      </c>
      <c r="G6" s="70" t="s">
        <v>605</v>
      </c>
      <c r="H6" s="57" t="s">
        <v>115</v>
      </c>
      <c r="I6" s="57" t="s">
        <v>116</v>
      </c>
      <c r="J6" s="71" t="s">
        <v>102</v>
      </c>
      <c r="K6" s="72">
        <v>25000</v>
      </c>
      <c r="L6" s="27">
        <v>1</v>
      </c>
      <c r="M6" s="27">
        <f>Table1[[#This Row],[Exchange]]*Table1[[#This Row],[Contract Value]]</f>
        <v>25000</v>
      </c>
      <c r="N6" s="27">
        <f>SUMIFS(Income!K:K,Income!G:G,Table1[[#This Row],[Project Name]],Income!E:E,Table1[[#This Row],[Project Type]],Income!H:H,Table1[[#This Row],[Client Name]])</f>
        <v>25000</v>
      </c>
      <c r="O6" s="27">
        <f>Table1[[#This Row],[Contract Value(INR)]]-Table1[[#This Row],[Received(INR)]]</f>
        <v>0</v>
      </c>
      <c r="P6" s="3"/>
      <c r="T6" s="57" t="s">
        <v>10</v>
      </c>
      <c r="U6">
        <f>SUM(U2:U4)</f>
        <v>37</v>
      </c>
    </row>
    <row r="7" spans="1:21" ht="12.75" x14ac:dyDescent="0.2">
      <c r="A7" s="1">
        <f t="shared" si="0"/>
        <v>6</v>
      </c>
      <c r="B7" s="57" t="str">
        <f>TEXT(Table1[[#This Row],[Sale Date]], "dddd")</f>
        <v>Friday</v>
      </c>
      <c r="C7" s="69">
        <v>45926</v>
      </c>
      <c r="D7" s="9" t="s">
        <v>98</v>
      </c>
      <c r="E7" s="59" t="s">
        <v>99</v>
      </c>
      <c r="F7" s="70" t="s">
        <v>604</v>
      </c>
      <c r="G7" s="70" t="s">
        <v>607</v>
      </c>
      <c r="H7" s="57" t="s">
        <v>592</v>
      </c>
      <c r="I7" s="57" t="s">
        <v>610</v>
      </c>
      <c r="J7" s="71" t="s">
        <v>102</v>
      </c>
      <c r="K7" s="72">
        <v>70000</v>
      </c>
      <c r="L7" s="27">
        <v>1</v>
      </c>
      <c r="M7" s="27">
        <f>Table1[[#This Row],[Exchange]]*Table1[[#This Row],[Contract Value]]</f>
        <v>70000</v>
      </c>
      <c r="N7" s="27">
        <f>SUMIFS(Income!K:K,Income!G:G,Table1[[#This Row],[Project Name]],Income!E:E,Table1[[#This Row],[Project Type]],Income!H:H,Table1[[#This Row],[Client Name]])</f>
        <v>0</v>
      </c>
      <c r="O7" s="27">
        <f>Table1[[#This Row],[Contract Value(INR)]]-Table1[[#This Row],[Received(INR)]]</f>
        <v>70000</v>
      </c>
      <c r="P7" s="3"/>
      <c r="Q7" t="s">
        <v>611</v>
      </c>
      <c r="R7" s="26">
        <v>45901</v>
      </c>
    </row>
    <row r="8" spans="1:21" ht="12.75" x14ac:dyDescent="0.2">
      <c r="A8" s="1">
        <f t="shared" si="0"/>
        <v>7</v>
      </c>
      <c r="B8" s="57" t="str">
        <f>TEXT(Table1[[#This Row],[Sale Date]], "dddd")</f>
        <v>Wednesday</v>
      </c>
      <c r="C8" s="69">
        <v>45931</v>
      </c>
      <c r="D8" s="9" t="s">
        <v>119</v>
      </c>
      <c r="E8" s="59" t="s">
        <v>78</v>
      </c>
      <c r="F8" s="70" t="s">
        <v>604</v>
      </c>
      <c r="G8" s="70" t="s">
        <v>607</v>
      </c>
      <c r="H8" s="57" t="s">
        <v>120</v>
      </c>
      <c r="I8" s="2" t="s">
        <v>121</v>
      </c>
      <c r="J8" s="2" t="s">
        <v>102</v>
      </c>
      <c r="K8" s="27">
        <v>600000</v>
      </c>
      <c r="L8" s="27">
        <v>1</v>
      </c>
      <c r="M8" s="27">
        <f>Table1[[#This Row],[Exchange]]*Table1[[#This Row],[Contract Value]]</f>
        <v>600000</v>
      </c>
      <c r="N8" s="27">
        <f>SUMIFS(Income!K:K,Income!G:G,Table1[[#This Row],[Project Name]],Income!E:E,Table1[[#This Row],[Project Type]],Income!H:H,Table1[[#This Row],[Client Name]])</f>
        <v>520001</v>
      </c>
      <c r="O8" s="27">
        <f>Table1[[#This Row],[Contract Value(INR)]]-Table1[[#This Row],[Received(INR)]]</f>
        <v>79999</v>
      </c>
      <c r="P8" s="3"/>
      <c r="Q8" t="s">
        <v>612</v>
      </c>
      <c r="R8" s="26">
        <f ca="1">TODAY()</f>
        <v>46093</v>
      </c>
    </row>
    <row r="9" spans="1:21" ht="13.15" customHeight="1" x14ac:dyDescent="0.2">
      <c r="A9" s="1">
        <f t="shared" si="0"/>
        <v>8</v>
      </c>
      <c r="B9" s="57" t="str">
        <f>TEXT(Table1[[#This Row],[Sale Date]], "dddd")</f>
        <v>Friday</v>
      </c>
      <c r="C9" s="7">
        <v>45940</v>
      </c>
      <c r="D9" s="9" t="s">
        <v>98</v>
      </c>
      <c r="E9" s="59" t="s">
        <v>78</v>
      </c>
      <c r="F9" s="1" t="s">
        <v>604</v>
      </c>
      <c r="G9" s="70" t="s">
        <v>607</v>
      </c>
      <c r="H9" s="59" t="s">
        <v>126</v>
      </c>
      <c r="I9" s="2" t="s">
        <v>127</v>
      </c>
      <c r="J9" s="2" t="s">
        <v>102</v>
      </c>
      <c r="K9" s="27">
        <v>160000</v>
      </c>
      <c r="L9" s="27">
        <v>1</v>
      </c>
      <c r="M9" s="27">
        <f>Table1[[#This Row],[Exchange]]*Table1[[#This Row],[Contract Value]]</f>
        <v>160000</v>
      </c>
      <c r="N9" s="27">
        <f>SUMIFS(Income!K:K,Income!G:G,Table1[[#This Row],[Project Name]],Income!E:E,Table1[[#This Row],[Project Type]],Income!H:H,Table1[[#This Row],[Client Name]])</f>
        <v>160000</v>
      </c>
      <c r="O9" s="27">
        <f>Table1[[#This Row],[Contract Value(INR)]]-Table1[[#This Row],[Received(INR)]]</f>
        <v>0</v>
      </c>
      <c r="P9" s="68"/>
      <c r="Q9" s="12" t="s">
        <v>613</v>
      </c>
      <c r="R9">
        <f ca="1">R8-R7</f>
        <v>192</v>
      </c>
    </row>
    <row r="10" spans="1:21" ht="15.75" customHeight="1" x14ac:dyDescent="0.2">
      <c r="A10" s="1">
        <f t="shared" si="0"/>
        <v>9</v>
      </c>
      <c r="B10" s="57" t="str">
        <f>TEXT(Table1[[#This Row],[Sale Date]], "dddd")</f>
        <v>Tuesday</v>
      </c>
      <c r="C10" s="7">
        <v>45944</v>
      </c>
      <c r="D10" s="9" t="s">
        <v>112</v>
      </c>
      <c r="E10" s="59" t="s">
        <v>99</v>
      </c>
      <c r="F10" s="1" t="s">
        <v>604</v>
      </c>
      <c r="G10" s="1" t="s">
        <v>605</v>
      </c>
      <c r="H10" s="57" t="s">
        <v>130</v>
      </c>
      <c r="I10" s="2" t="s">
        <v>131</v>
      </c>
      <c r="J10" s="2" t="s">
        <v>102</v>
      </c>
      <c r="K10" s="27">
        <v>20000</v>
      </c>
      <c r="L10" s="27">
        <v>1</v>
      </c>
      <c r="M10" s="27">
        <f>Table1[[#This Row],[Exchange]]*Table1[[#This Row],[Contract Value]]</f>
        <v>20000</v>
      </c>
      <c r="N10" s="27">
        <f>SUMIFS(Income!K:K,Income!G:G,Table1[[#This Row],[Project Name]],Income!E:E,Table1[[#This Row],[Project Type]],Income!H:H,Table1[[#This Row],[Client Name]])</f>
        <v>20000</v>
      </c>
      <c r="O10" s="27">
        <f>Table1[[#This Row],[Contract Value(INR)]]-Table1[[#This Row],[Received(INR)]]</f>
        <v>0</v>
      </c>
      <c r="P10" s="3"/>
      <c r="Q10" t="s">
        <v>614</v>
      </c>
      <c r="R10">
        <f>COUNTA(A:A)-1</f>
        <v>39</v>
      </c>
    </row>
    <row r="11" spans="1:21" ht="15.75" customHeight="1" x14ac:dyDescent="0.2">
      <c r="A11" s="1">
        <f t="shared" si="0"/>
        <v>10</v>
      </c>
      <c r="B11" s="57" t="str">
        <f>TEXT(Table1[[#This Row],[Sale Date]], "dddd")</f>
        <v>Thursday</v>
      </c>
      <c r="C11" s="7">
        <v>45946</v>
      </c>
      <c r="D11" s="9" t="s">
        <v>98</v>
      </c>
      <c r="E11" s="59" t="s">
        <v>105</v>
      </c>
      <c r="F11" s="1" t="s">
        <v>604</v>
      </c>
      <c r="G11" s="70" t="s">
        <v>607</v>
      </c>
      <c r="H11" s="57" t="s">
        <v>133</v>
      </c>
      <c r="I11" s="2" t="s">
        <v>134</v>
      </c>
      <c r="J11" s="2" t="s">
        <v>102</v>
      </c>
      <c r="K11" s="27">
        <v>108000</v>
      </c>
      <c r="L11" s="27">
        <v>1</v>
      </c>
      <c r="M11" s="27">
        <f>Table1[[#This Row],[Exchange]]*Table1[[#This Row],[Contract Value]]</f>
        <v>108000</v>
      </c>
      <c r="N11" s="27">
        <f>SUMIFS(Income!K:K,Income!G:G,Table1[[#This Row],[Project Name]],Income!E:E,Table1[[#This Row],[Project Type]],Income!H:H,Table1[[#This Row],[Client Name]])</f>
        <v>73000</v>
      </c>
      <c r="O11" s="27">
        <f>Table1[[#This Row],[Contract Value(INR)]]-Table1[[#This Row],[Received(INR)]]</f>
        <v>35000</v>
      </c>
      <c r="P11" s="68"/>
      <c r="Q11" t="s">
        <v>615</v>
      </c>
      <c r="R11" s="31">
        <f ca="1">R9/R10</f>
        <v>4.9230769230769234</v>
      </c>
    </row>
    <row r="12" spans="1:21" ht="15.75" customHeight="1" x14ac:dyDescent="0.2">
      <c r="A12" s="1">
        <f t="shared" si="0"/>
        <v>11</v>
      </c>
      <c r="B12" s="57" t="str">
        <f>TEXT(Table1[[#This Row],[Sale Date]], "dddd")</f>
        <v>Friday</v>
      </c>
      <c r="C12" s="4">
        <v>45947</v>
      </c>
      <c r="D12" s="9" t="s">
        <v>98</v>
      </c>
      <c r="E12" s="59" t="s">
        <v>105</v>
      </c>
      <c r="F12" s="1" t="s">
        <v>604</v>
      </c>
      <c r="G12" s="70" t="s">
        <v>607</v>
      </c>
      <c r="H12" s="57" t="s">
        <v>135</v>
      </c>
      <c r="I12" s="2" t="s">
        <v>136</v>
      </c>
      <c r="J12" s="2" t="s">
        <v>102</v>
      </c>
      <c r="K12" s="27">
        <v>75000</v>
      </c>
      <c r="L12" s="27">
        <v>1</v>
      </c>
      <c r="M12" s="27">
        <f>Table1[[#This Row],[Exchange]]*Table1[[#This Row],[Contract Value]]</f>
        <v>75000</v>
      </c>
      <c r="N12" s="27">
        <f>SUMIFS(Income!K:K,Income!G:G,Table1[[#This Row],[Project Name]],Income!E:E,Table1[[#This Row],[Project Type]],Income!H:H,Table1[[#This Row],[Client Name]])</f>
        <v>52500</v>
      </c>
      <c r="O12" s="27">
        <f>Table1[[#This Row],[Contract Value(INR)]]-Table1[[#This Row],[Received(INR)]]</f>
        <v>22500</v>
      </c>
      <c r="P12" s="68"/>
      <c r="Q12" t="s">
        <v>616</v>
      </c>
      <c r="R12" s="38">
        <f ca="1">365/R11</f>
        <v>74.140625</v>
      </c>
    </row>
    <row r="13" spans="1:21" ht="15.75" customHeight="1" x14ac:dyDescent="0.2">
      <c r="A13" s="1">
        <f t="shared" si="0"/>
        <v>12</v>
      </c>
      <c r="B13" s="57" t="str">
        <f>TEXT(Table1[[#This Row],[Sale Date]], "dddd")</f>
        <v>Friday</v>
      </c>
      <c r="C13" s="4">
        <v>45947</v>
      </c>
      <c r="D13" s="9" t="s">
        <v>98</v>
      </c>
      <c r="E13" s="59" t="s">
        <v>105</v>
      </c>
      <c r="F13" s="1" t="s">
        <v>604</v>
      </c>
      <c r="G13" s="70" t="s">
        <v>607</v>
      </c>
      <c r="H13" s="57" t="s">
        <v>137</v>
      </c>
      <c r="I13" s="57" t="s">
        <v>138</v>
      </c>
      <c r="J13" s="2" t="s">
        <v>102</v>
      </c>
      <c r="K13" s="27">
        <v>100000</v>
      </c>
      <c r="L13" s="27">
        <v>1</v>
      </c>
      <c r="M13" s="27">
        <f>Table1[[#This Row],[Exchange]]*Table1[[#This Row],[Contract Value]]</f>
        <v>100000</v>
      </c>
      <c r="N13" s="27">
        <f>SUMIFS(Income!K:K,Income!G:G,Table1[[#This Row],[Project Name]],Income!E:E,Table1[[#This Row],[Project Type]],Income!H:H,Table1[[#This Row],[Client Name]])</f>
        <v>70000</v>
      </c>
      <c r="O13" s="27">
        <f>Table1[[#This Row],[Contract Value(INR)]]-Table1[[#This Row],[Received(INR)]]</f>
        <v>30000</v>
      </c>
      <c r="P13" s="68"/>
      <c r="Q13" t="s">
        <v>617</v>
      </c>
      <c r="R13" s="18">
        <f>R2/R10</f>
        <v>120705.38461538461</v>
      </c>
    </row>
    <row r="14" spans="1:21" ht="12.75" customHeight="1" x14ac:dyDescent="0.2">
      <c r="A14" s="1">
        <f t="shared" si="0"/>
        <v>13</v>
      </c>
      <c r="B14" s="57" t="str">
        <f>TEXT(Table1[[#This Row],[Sale Date]], "dddd")</f>
        <v>Wednesday</v>
      </c>
      <c r="C14" s="69">
        <v>45959</v>
      </c>
      <c r="D14" s="9" t="s">
        <v>114</v>
      </c>
      <c r="E14" s="59" t="s">
        <v>99</v>
      </c>
      <c r="F14" s="70" t="s">
        <v>604</v>
      </c>
      <c r="G14" s="70" t="s">
        <v>607</v>
      </c>
      <c r="H14" s="57" t="s">
        <v>107</v>
      </c>
      <c r="I14" s="57" t="s">
        <v>108</v>
      </c>
      <c r="J14" s="71" t="s">
        <v>102</v>
      </c>
      <c r="K14" s="72">
        <v>12500</v>
      </c>
      <c r="L14" s="27">
        <v>1</v>
      </c>
      <c r="M14" s="27">
        <f>Table1[[#This Row],[Exchange]]*Table1[[#This Row],[Contract Value]]</f>
        <v>12500</v>
      </c>
      <c r="N14" s="27">
        <f>SUMIFS(Income!K:K,Income!G:G,Table1[[#This Row],[Project Name]],Income!E:E,Table1[[#This Row],[Project Type]],Income!H:H,Table1[[#This Row],[Client Name]])</f>
        <v>12500</v>
      </c>
      <c r="O14" s="27">
        <f>Table1[[#This Row],[Contract Value(INR)]]-Table1[[#This Row],[Received(INR)]]</f>
        <v>0</v>
      </c>
      <c r="P14" s="3"/>
      <c r="Q14" s="57" t="s">
        <v>618</v>
      </c>
      <c r="R14" s="39">
        <f ca="1">R13*R12</f>
        <v>8949172.65625</v>
      </c>
      <c r="S14" s="30"/>
    </row>
    <row r="15" spans="1:21" ht="15.75" customHeight="1" x14ac:dyDescent="0.2">
      <c r="A15" s="1">
        <f t="shared" si="0"/>
        <v>14</v>
      </c>
      <c r="B15" s="57" t="str">
        <f>TEXT(Table1[[#This Row],[Sale Date]], "dddd")</f>
        <v>Monday</v>
      </c>
      <c r="C15" s="4">
        <v>45964</v>
      </c>
      <c r="D15" s="9" t="s">
        <v>98</v>
      </c>
      <c r="E15" s="63" t="s">
        <v>105</v>
      </c>
      <c r="F15" s="1" t="s">
        <v>604</v>
      </c>
      <c r="G15" s="70" t="s">
        <v>607</v>
      </c>
      <c r="H15" s="57" t="s">
        <v>139</v>
      </c>
      <c r="I15" s="2" t="s">
        <v>140</v>
      </c>
      <c r="J15" s="2" t="s">
        <v>102</v>
      </c>
      <c r="K15" s="27">
        <v>85000</v>
      </c>
      <c r="L15" s="27">
        <v>1</v>
      </c>
      <c r="M15" s="27">
        <f>Table1[[#This Row],[Exchange]]*Table1[[#This Row],[Contract Value]]</f>
        <v>85000</v>
      </c>
      <c r="N15" s="27">
        <f>SUMIFS(Income!K:K,Income!G:G,Table1[[#This Row],[Project Name]],Income!E:E,Table1[[#This Row],[Project Type]],Income!H:H,Table1[[#This Row],[Client Name]])</f>
        <v>11000</v>
      </c>
      <c r="O15" s="27">
        <f>Table1[[#This Row],[Contract Value(INR)]]-Table1[[#This Row],[Received(INR)]]</f>
        <v>74000</v>
      </c>
      <c r="P15" s="3"/>
    </row>
    <row r="16" spans="1:21" ht="15.75" customHeight="1" x14ac:dyDescent="0.2">
      <c r="A16" s="1">
        <f t="shared" si="0"/>
        <v>15</v>
      </c>
      <c r="B16" s="57" t="str">
        <f>TEXT(Table1[[#This Row],[Sale Date]], "dddd")</f>
        <v>Wednesday</v>
      </c>
      <c r="C16" s="4">
        <v>45973</v>
      </c>
      <c r="D16" s="9" t="s">
        <v>98</v>
      </c>
      <c r="E16" s="63" t="s">
        <v>99</v>
      </c>
      <c r="F16" s="1" t="s">
        <v>604</v>
      </c>
      <c r="G16" s="1" t="s">
        <v>605</v>
      </c>
      <c r="H16" s="57" t="s">
        <v>141</v>
      </c>
      <c r="I16" s="2" t="s">
        <v>101</v>
      </c>
      <c r="J16" s="2" t="s">
        <v>102</v>
      </c>
      <c r="K16" s="27">
        <v>30000</v>
      </c>
      <c r="L16" s="27">
        <v>1</v>
      </c>
      <c r="M16" s="27">
        <f>Table1[[#This Row],[Exchange]]*Table1[[#This Row],[Contract Value]]</f>
        <v>30000</v>
      </c>
      <c r="N16" s="27">
        <f>SUMIFS(Income!K:K,Income!G:G,Table1[[#This Row],[Project Name]],Income!E:E,Table1[[#This Row],[Project Type]],Income!H:H,Table1[[#This Row],[Client Name]])</f>
        <v>30000</v>
      </c>
      <c r="O16" s="27">
        <f>Table1[[#This Row],[Contract Value(INR)]]-Table1[[#This Row],[Received(INR)]]</f>
        <v>0</v>
      </c>
      <c r="P16" s="3"/>
      <c r="Q16" t="s">
        <v>611</v>
      </c>
      <c r="R16" s="26">
        <v>45901</v>
      </c>
    </row>
    <row r="17" spans="1:20" ht="15.75" customHeight="1" x14ac:dyDescent="0.2">
      <c r="A17" s="1">
        <f t="shared" si="0"/>
        <v>16</v>
      </c>
      <c r="B17" s="57" t="str">
        <f>TEXT(Table1[[#This Row],[Sale Date]], "dddd")</f>
        <v>Friday</v>
      </c>
      <c r="C17" s="4">
        <v>45975</v>
      </c>
      <c r="D17" s="9" t="s">
        <v>114</v>
      </c>
      <c r="E17" s="63" t="s">
        <v>99</v>
      </c>
      <c r="F17" s="1" t="s">
        <v>604</v>
      </c>
      <c r="G17" s="1" t="s">
        <v>605</v>
      </c>
      <c r="H17" s="57" t="s">
        <v>142</v>
      </c>
      <c r="I17" s="2" t="s">
        <v>143</v>
      </c>
      <c r="J17" s="2" t="s">
        <v>102</v>
      </c>
      <c r="K17" s="27">
        <v>25000</v>
      </c>
      <c r="L17" s="27">
        <v>1</v>
      </c>
      <c r="M17" s="27">
        <f>Table1[[#This Row],[Exchange]]*Table1[[#This Row],[Contract Value]]</f>
        <v>25000</v>
      </c>
      <c r="N17" s="27">
        <f>SUMIFS(Income!K:K,Income!G:G,Table1[[#This Row],[Project Name]],Income!E:E,Table1[[#This Row],[Project Type]],Income!H:H,Table1[[#This Row],[Client Name]])</f>
        <v>7000</v>
      </c>
      <c r="O17" s="27">
        <f>Table1[[#This Row],[Contract Value(INR)]]-Table1[[#This Row],[Received(INR)]]</f>
        <v>18000</v>
      </c>
      <c r="P17" s="3"/>
      <c r="Q17" t="s">
        <v>619</v>
      </c>
      <c r="R17" s="26">
        <v>46087</v>
      </c>
      <c r="S17" s="26"/>
    </row>
    <row r="18" spans="1:20" ht="15.75" customHeight="1" x14ac:dyDescent="0.2">
      <c r="A18" s="1">
        <f t="shared" si="0"/>
        <v>17</v>
      </c>
      <c r="B18" s="57" t="str">
        <f>TEXT(Table1[[#This Row],[Sale Date]], "dddd")</f>
        <v>Saturday</v>
      </c>
      <c r="C18" s="4">
        <v>45976</v>
      </c>
      <c r="D18" s="9" t="s">
        <v>98</v>
      </c>
      <c r="E18" s="63" t="s">
        <v>50</v>
      </c>
      <c r="F18" s="1" t="s">
        <v>604</v>
      </c>
      <c r="G18" s="1" t="s">
        <v>605</v>
      </c>
      <c r="H18" s="57" t="s">
        <v>144</v>
      </c>
      <c r="I18" s="57" t="s">
        <v>145</v>
      </c>
      <c r="J18" s="2" t="s">
        <v>102</v>
      </c>
      <c r="K18" s="27">
        <v>150000</v>
      </c>
      <c r="L18" s="27">
        <v>1</v>
      </c>
      <c r="M18" s="27">
        <f>Table1[[#This Row],[Exchange]]*Table1[[#This Row],[Contract Value]]</f>
        <v>150000</v>
      </c>
      <c r="N18" s="27">
        <f>SUMIFS(Income!K:K,Income!G:G,Table1[[#This Row],[Project Name]],Income!E:E,Table1[[#This Row],[Project Type]],Income!H:H,Table1[[#This Row],[Client Name]])</f>
        <v>75000</v>
      </c>
      <c r="O18" s="27">
        <f>Table1[[#This Row],[Contract Value(INR)]]-Table1[[#This Row],[Received(INR)]]</f>
        <v>75000</v>
      </c>
      <c r="P18" s="3"/>
      <c r="Q18" t="s">
        <v>620</v>
      </c>
      <c r="R18" s="34">
        <f>COUNTIF(E:E,"Prachi Lohani")+COUNTIF(E:E,"Parul Sandilya")++COUNTIF(E:E,"Haider")</f>
        <v>21</v>
      </c>
    </row>
    <row r="19" spans="1:20" ht="15.75" customHeight="1" x14ac:dyDescent="0.2">
      <c r="A19" s="1">
        <f t="shared" si="0"/>
        <v>18</v>
      </c>
      <c r="B19" s="57" t="str">
        <f>TEXT(Table1[[#This Row],[Sale Date]], "dddd")</f>
        <v>Thursday</v>
      </c>
      <c r="C19" s="4">
        <v>45981</v>
      </c>
      <c r="D19" s="9" t="s">
        <v>98</v>
      </c>
      <c r="E19" s="63" t="s">
        <v>105</v>
      </c>
      <c r="F19" s="1" t="s">
        <v>604</v>
      </c>
      <c r="G19" s="70" t="s">
        <v>607</v>
      </c>
      <c r="H19" s="2" t="s">
        <v>146</v>
      </c>
      <c r="I19" s="2" t="s">
        <v>147</v>
      </c>
      <c r="J19" s="2" t="s">
        <v>102</v>
      </c>
      <c r="K19" s="27">
        <v>160000</v>
      </c>
      <c r="L19" s="27">
        <v>1</v>
      </c>
      <c r="M19" s="27">
        <f>Table1[[#This Row],[Exchange]]*Table1[[#This Row],[Contract Value]]</f>
        <v>160000</v>
      </c>
      <c r="N19" s="27">
        <f>SUMIFS(Income!K:K,Income!G:G,Table1[[#This Row],[Project Name]],Income!E:E,Table1[[#This Row],[Project Type]],Income!H:H,Table1[[#This Row],[Client Name]])</f>
        <v>120000</v>
      </c>
      <c r="O19" s="27">
        <f>Table1[[#This Row],[Contract Value(INR)]]-Table1[[#This Row],[Received(INR)]]</f>
        <v>40000</v>
      </c>
      <c r="P19" s="3"/>
      <c r="Q19" s="57" t="s">
        <v>621</v>
      </c>
      <c r="R19" s="18">
        <v>276016.15999999997</v>
      </c>
    </row>
    <row r="20" spans="1:20" ht="15.75" customHeight="1" x14ac:dyDescent="0.2">
      <c r="A20" s="1">
        <f t="shared" si="0"/>
        <v>19</v>
      </c>
      <c r="B20" s="57" t="str">
        <f>TEXT(Table1[[#This Row],[Sale Date]], "dddd")</f>
        <v>Friday</v>
      </c>
      <c r="C20" s="7">
        <v>45982</v>
      </c>
      <c r="D20" s="9" t="s">
        <v>98</v>
      </c>
      <c r="E20" s="63" t="s">
        <v>50</v>
      </c>
      <c r="F20" s="1" t="s">
        <v>604</v>
      </c>
      <c r="G20" s="70" t="s">
        <v>607</v>
      </c>
      <c r="H20" s="17" t="s">
        <v>149</v>
      </c>
      <c r="I20" s="2" t="s">
        <v>150</v>
      </c>
      <c r="J20" s="2" t="s">
        <v>102</v>
      </c>
      <c r="K20" s="27">
        <v>220000</v>
      </c>
      <c r="L20" s="27">
        <v>1</v>
      </c>
      <c r="M20" s="27">
        <f>Table1[[#This Row],[Exchange]]*Table1[[#This Row],[Contract Value]]</f>
        <v>220000</v>
      </c>
      <c r="N20" s="27">
        <f>SUMIFS(Income!K:K,Income!G:G,Table1[[#This Row],[Project Name]],Income!E:E,Table1[[#This Row],[Project Type]],Income!H:H,Table1[[#This Row],[Client Name]])</f>
        <v>50000</v>
      </c>
      <c r="O20" s="27">
        <f>Table1[[#This Row],[Contract Value(INR)]]-Table1[[#This Row],[Received(INR)]]</f>
        <v>170000</v>
      </c>
      <c r="P20" s="3"/>
      <c r="Q20" t="s">
        <v>622</v>
      </c>
      <c r="R20" s="18">
        <f>50000*_xlfn.DAYS(R17,R16)/30</f>
        <v>310000</v>
      </c>
      <c r="S20" s="57" t="s">
        <v>623</v>
      </c>
    </row>
    <row r="21" spans="1:20" ht="15.75" customHeight="1" x14ac:dyDescent="0.2">
      <c r="A21" s="1">
        <f t="shared" si="0"/>
        <v>20</v>
      </c>
      <c r="B21" s="57" t="str">
        <f>TEXT(Table1[[#This Row],[Sale Date]], "dddd")</f>
        <v>Tuesday</v>
      </c>
      <c r="C21" s="4">
        <v>45986</v>
      </c>
      <c r="D21" s="9" t="s">
        <v>98</v>
      </c>
      <c r="E21" s="63" t="s">
        <v>99</v>
      </c>
      <c r="F21" s="1" t="s">
        <v>604</v>
      </c>
      <c r="G21" s="1" t="s">
        <v>605</v>
      </c>
      <c r="H21" s="2" t="s">
        <v>151</v>
      </c>
      <c r="I21" s="2" t="s">
        <v>152</v>
      </c>
      <c r="J21" s="2" t="s">
        <v>153</v>
      </c>
      <c r="K21" s="84">
        <v>2500</v>
      </c>
      <c r="L21" s="27">
        <v>90</v>
      </c>
      <c r="M21" s="27">
        <f>Table1[[#This Row],[Exchange]]*Table1[[#This Row],[Contract Value]]</f>
        <v>225000</v>
      </c>
      <c r="N21" s="27">
        <f>SUMIFS(Income!K:K,Income!G:G,Table1[[#This Row],[Project Name]],Income!E:E,Table1[[#This Row],[Project Type]],Income!H:H,Table1[[#This Row],[Client Name]])</f>
        <v>142111.32</v>
      </c>
      <c r="O21" s="27">
        <f>Table1[[#This Row],[Contract Value(INR)]]-Table1[[#This Row],[Received(INR)]]</f>
        <v>82888.679999999993</v>
      </c>
      <c r="P21" s="3"/>
      <c r="Q21" s="36" t="s">
        <v>624</v>
      </c>
    </row>
    <row r="22" spans="1:20" ht="15.75" customHeight="1" x14ac:dyDescent="0.2">
      <c r="A22" s="1">
        <f t="shared" si="0"/>
        <v>21</v>
      </c>
      <c r="B22" s="57" t="str">
        <f>TEXT(Table1[[#This Row],[Sale Date]], "dddd")</f>
        <v>Thursday</v>
      </c>
      <c r="C22" s="7">
        <v>45988</v>
      </c>
      <c r="D22" s="9" t="s">
        <v>119</v>
      </c>
      <c r="E22" s="63" t="s">
        <v>105</v>
      </c>
      <c r="F22" s="1" t="s">
        <v>604</v>
      </c>
      <c r="G22" s="1" t="s">
        <v>605</v>
      </c>
      <c r="H22" s="2" t="s">
        <v>154</v>
      </c>
      <c r="I22" s="2" t="s">
        <v>155</v>
      </c>
      <c r="J22" s="2" t="s">
        <v>102</v>
      </c>
      <c r="K22" s="27">
        <v>200000</v>
      </c>
      <c r="L22" s="27">
        <v>1</v>
      </c>
      <c r="M22" s="27">
        <f>Table1[[#This Row],[Exchange]]*Table1[[#This Row],[Contract Value]]</f>
        <v>200000</v>
      </c>
      <c r="N22" s="27">
        <f>SUMIFS(Income!K:K,Income!G:G,Table1[[#This Row],[Project Name]],Income!E:E,Table1[[#This Row],[Project Type]],Income!H:H,Table1[[#This Row],[Client Name]])</f>
        <v>140000</v>
      </c>
      <c r="O22" s="27">
        <f>Table1[[#This Row],[Contract Value(INR)]]-Table1[[#This Row],[Received(INR)]]</f>
        <v>60000</v>
      </c>
      <c r="P22" s="3"/>
      <c r="Q22" t="s">
        <v>625</v>
      </c>
      <c r="R22" s="18"/>
    </row>
    <row r="23" spans="1:20" ht="15.75" customHeight="1" x14ac:dyDescent="0.2">
      <c r="A23" s="1">
        <f t="shared" si="0"/>
        <v>22</v>
      </c>
      <c r="B23" s="57" t="str">
        <f>TEXT(Table1[[#This Row],[Sale Date]], "dddd")</f>
        <v>Saturday</v>
      </c>
      <c r="C23" s="7">
        <v>45990</v>
      </c>
      <c r="D23" s="9" t="s">
        <v>98</v>
      </c>
      <c r="E23" s="63" t="s">
        <v>50</v>
      </c>
      <c r="F23" s="1" t="s">
        <v>604</v>
      </c>
      <c r="G23" s="1" t="s">
        <v>605</v>
      </c>
      <c r="H23" s="2" t="s">
        <v>156</v>
      </c>
      <c r="I23" s="2" t="s">
        <v>157</v>
      </c>
      <c r="J23" s="2" t="s">
        <v>102</v>
      </c>
      <c r="K23" s="27">
        <v>212500</v>
      </c>
      <c r="L23" s="27">
        <v>1</v>
      </c>
      <c r="M23" s="27">
        <f>Table1[[#This Row],[Exchange]]*Table1[[#This Row],[Contract Value]]</f>
        <v>212500</v>
      </c>
      <c r="N23" s="27">
        <f>SUMIFS(Income!K:K,Income!G:G,Table1[[#This Row],[Project Name]],Income!E:E,Table1[[#This Row],[Project Type]],Income!H:H,Table1[[#This Row],[Client Name]])</f>
        <v>205000</v>
      </c>
      <c r="O23" s="27">
        <f>Table1[[#This Row],[Contract Value(INR)]]-Table1[[#This Row],[Received(INR)]]</f>
        <v>7500</v>
      </c>
      <c r="P23" s="3"/>
      <c r="Q23" t="s">
        <v>626</v>
      </c>
      <c r="R23" s="127"/>
    </row>
    <row r="24" spans="1:20" ht="15.75" customHeight="1" x14ac:dyDescent="0.2">
      <c r="A24" s="1">
        <f t="shared" si="0"/>
        <v>23</v>
      </c>
      <c r="B24" s="57" t="str">
        <f>TEXT(Table1[[#This Row],[Sale Date]], "dddd")</f>
        <v>Monday</v>
      </c>
      <c r="C24" s="7">
        <v>45992</v>
      </c>
      <c r="D24" s="9" t="s">
        <v>106</v>
      </c>
      <c r="E24" s="63" t="s">
        <v>105</v>
      </c>
      <c r="F24" s="1" t="s">
        <v>604</v>
      </c>
      <c r="G24" s="70" t="s">
        <v>607</v>
      </c>
      <c r="H24" s="13" t="s">
        <v>159</v>
      </c>
      <c r="I24" s="2" t="s">
        <v>160</v>
      </c>
      <c r="J24" s="2" t="s">
        <v>102</v>
      </c>
      <c r="K24" s="27">
        <v>80000</v>
      </c>
      <c r="L24" s="27">
        <v>1</v>
      </c>
      <c r="M24" s="27">
        <f>Table1[[#This Row],[Exchange]]*Table1[[#This Row],[Contract Value]]</f>
        <v>80000</v>
      </c>
      <c r="N24" s="27">
        <f>SUMIFS(Income!K:K,Income!G:G,Table1[[#This Row],[Project Name]],Income!E:E,Table1[[#This Row],[Project Type]],Income!H:H,Table1[[#This Row],[Client Name]])</f>
        <v>56000</v>
      </c>
      <c r="O24" s="27">
        <f>Table1[[#This Row],[Contract Value(INR)]]-Table1[[#This Row],[Received(INR)]]</f>
        <v>24000</v>
      </c>
      <c r="P24" s="3"/>
      <c r="Q24" s="57" t="s">
        <v>50</v>
      </c>
      <c r="R24" s="18"/>
    </row>
    <row r="25" spans="1:20" ht="15.75" customHeight="1" x14ac:dyDescent="0.2">
      <c r="A25" s="1">
        <f t="shared" si="0"/>
        <v>24</v>
      </c>
      <c r="B25" s="57" t="str">
        <f>TEXT(Table1[[#This Row],[Sale Date]], "dddd")</f>
        <v>Tuesday</v>
      </c>
      <c r="C25" s="7">
        <v>45993</v>
      </c>
      <c r="D25" s="9" t="s">
        <v>119</v>
      </c>
      <c r="E25" s="63" t="s">
        <v>105</v>
      </c>
      <c r="F25" s="1" t="s">
        <v>604</v>
      </c>
      <c r="G25" s="70" t="s">
        <v>607</v>
      </c>
      <c r="H25" s="13" t="s">
        <v>163</v>
      </c>
      <c r="I25" s="2" t="s">
        <v>164</v>
      </c>
      <c r="J25" s="2" t="s">
        <v>102</v>
      </c>
      <c r="K25" s="27">
        <v>100000</v>
      </c>
      <c r="L25" s="27">
        <v>1</v>
      </c>
      <c r="M25" s="27">
        <f>Table1[[#This Row],[Exchange]]*Table1[[#This Row],[Contract Value]]</f>
        <v>100000</v>
      </c>
      <c r="N25" s="27">
        <f>SUMIFS(Income!K:K,Income!G:G,Table1[[#This Row],[Project Name]],Income!E:E,Table1[[#This Row],[Project Type]],Income!H:H,Table1[[#This Row],[Client Name]])</f>
        <v>100000</v>
      </c>
      <c r="O25" s="103">
        <f>Table1[[#This Row],[Contract Value(INR)]]-Table1[[#This Row],[Received(INR)]]</f>
        <v>0</v>
      </c>
      <c r="P25" s="3"/>
      <c r="Q25" t="s">
        <v>627</v>
      </c>
      <c r="R25" s="18">
        <f>SUM(R22:R24)</f>
        <v>0</v>
      </c>
      <c r="S25" s="30"/>
    </row>
    <row r="26" spans="1:20" ht="12.75" x14ac:dyDescent="0.2">
      <c r="A26" s="1">
        <f t="shared" si="0"/>
        <v>25</v>
      </c>
      <c r="B26" s="57" t="str">
        <f>TEXT(Table1[[#This Row],[Sale Date]], "dddd")</f>
        <v>Friday</v>
      </c>
      <c r="C26" s="7">
        <v>45996</v>
      </c>
      <c r="D26" s="9" t="s">
        <v>98</v>
      </c>
      <c r="E26" s="63" t="s">
        <v>50</v>
      </c>
      <c r="F26" s="1" t="s">
        <v>604</v>
      </c>
      <c r="G26" s="70" t="s">
        <v>607</v>
      </c>
      <c r="H26" s="2" t="s">
        <v>166</v>
      </c>
      <c r="I26" s="2" t="s">
        <v>167</v>
      </c>
      <c r="J26" s="2" t="s">
        <v>102</v>
      </c>
      <c r="K26" s="27">
        <v>150000</v>
      </c>
      <c r="L26" s="27">
        <v>1</v>
      </c>
      <c r="M26" s="27">
        <f>Table1[[#This Row],[Exchange]]*Table1[[#This Row],[Contract Value]]</f>
        <v>150000</v>
      </c>
      <c r="N26" s="27">
        <f>SUMIFS(Income!K:K,Income!G:G,Table1[[#This Row],[Project Name]],Income!E:E,Table1[[#This Row],[Project Type]],Income!H:H,Table1[[#This Row],[Client Name]])</f>
        <v>35000</v>
      </c>
      <c r="O26" s="27">
        <f>Table1[[#This Row],[Contract Value(INR)]]-Table1[[#This Row],[Received(INR)]]</f>
        <v>115000</v>
      </c>
      <c r="P26" s="3"/>
      <c r="Q26" t="s">
        <v>628</v>
      </c>
      <c r="R26" s="18">
        <v>21250</v>
      </c>
    </row>
    <row r="27" spans="1:20" ht="12.75" x14ac:dyDescent="0.2">
      <c r="A27" s="1">
        <f t="shared" si="0"/>
        <v>26</v>
      </c>
      <c r="B27" s="57" t="str">
        <f>TEXT(Table1[[#This Row],[Sale Date]], "dddd")</f>
        <v>Thursday</v>
      </c>
      <c r="C27" s="7">
        <v>46002</v>
      </c>
      <c r="D27" s="9" t="s">
        <v>98</v>
      </c>
      <c r="E27" s="63" t="s">
        <v>50</v>
      </c>
      <c r="F27" s="1" t="s">
        <v>604</v>
      </c>
      <c r="G27" s="70" t="s">
        <v>607</v>
      </c>
      <c r="H27" s="2" t="s">
        <v>169</v>
      </c>
      <c r="I27" s="2" t="s">
        <v>170</v>
      </c>
      <c r="J27" s="2" t="s">
        <v>102</v>
      </c>
      <c r="K27" s="27">
        <v>165000</v>
      </c>
      <c r="L27" s="27">
        <v>1</v>
      </c>
      <c r="M27" s="27">
        <f>Table1[[#This Row],[Exchange]]*Table1[[#This Row],[Contract Value]]</f>
        <v>165000</v>
      </c>
      <c r="N27" s="27">
        <f>SUMIFS(Income!K:K,Income!G:G,Table1[[#This Row],[Project Name]],Income!E:E,Table1[[#This Row],[Project Type]],Income!H:H,Table1[[#This Row],[Client Name]])</f>
        <v>115500</v>
      </c>
      <c r="O27" s="27">
        <f>Table1[[#This Row],[Contract Value(INR)]]-Table1[[#This Row],[Received(INR)]]</f>
        <v>49500</v>
      </c>
      <c r="P27" s="3"/>
      <c r="Q27" s="104"/>
    </row>
    <row r="28" spans="1:20" ht="12.6" customHeight="1" x14ac:dyDescent="0.2">
      <c r="A28" s="1">
        <f t="shared" si="0"/>
        <v>27</v>
      </c>
      <c r="B28" s="57" t="str">
        <f>TEXT(Table1[[#This Row],[Sale Date]], "dddd")</f>
        <v>Monday</v>
      </c>
      <c r="C28" s="7">
        <v>46006</v>
      </c>
      <c r="D28" s="9" t="s">
        <v>98</v>
      </c>
      <c r="E28" s="63" t="s">
        <v>105</v>
      </c>
      <c r="F28" s="1" t="s">
        <v>604</v>
      </c>
      <c r="G28" s="70" t="s">
        <v>607</v>
      </c>
      <c r="H28" s="17" t="s">
        <v>171</v>
      </c>
      <c r="I28" s="63" t="s">
        <v>172</v>
      </c>
      <c r="J28" t="s">
        <v>102</v>
      </c>
      <c r="K28" s="27">
        <v>100000</v>
      </c>
      <c r="L28" s="27">
        <v>1</v>
      </c>
      <c r="M28" s="27">
        <f>Table1[[#This Row],[Exchange]]*Table1[[#This Row],[Contract Value]]</f>
        <v>100000</v>
      </c>
      <c r="N28" s="27">
        <f>SUMIFS(Income!K:K,Income!G:G,Table1[[#This Row],[Project Name]],Income!E:E,Table1[[#This Row],[Project Type]],Income!H:H,Table1[[#This Row],[Client Name]])</f>
        <v>50000</v>
      </c>
      <c r="O28" s="27">
        <f>Table1[[#This Row],[Contract Value(INR)]]-Table1[[#This Row],[Received(INR)]]</f>
        <v>50000</v>
      </c>
      <c r="P28" s="3"/>
      <c r="S28" s="30"/>
    </row>
    <row r="29" spans="1:20" ht="12.75" x14ac:dyDescent="0.2">
      <c r="A29" s="1">
        <f t="shared" si="0"/>
        <v>28</v>
      </c>
      <c r="B29" s="57" t="str">
        <f>TEXT(Table1[[#This Row],[Sale Date]], "dddd")</f>
        <v>Friday</v>
      </c>
      <c r="C29" s="7">
        <v>46017</v>
      </c>
      <c r="D29" s="9" t="s">
        <v>114</v>
      </c>
      <c r="E29" s="63" t="s">
        <v>99</v>
      </c>
      <c r="F29" s="1" t="s">
        <v>604</v>
      </c>
      <c r="G29" s="1" t="s">
        <v>605</v>
      </c>
      <c r="H29" t="s">
        <v>593</v>
      </c>
      <c r="I29" s="2" t="s">
        <v>629</v>
      </c>
      <c r="J29" s="2" t="s">
        <v>102</v>
      </c>
      <c r="K29" s="27">
        <v>31000</v>
      </c>
      <c r="L29" s="27">
        <v>1</v>
      </c>
      <c r="M29" s="27">
        <f>Table1[[#This Row],[Exchange]]*Table1[[#This Row],[Contract Value]]</f>
        <v>31000</v>
      </c>
      <c r="N29" s="27">
        <f>SUMIFS(Income!K:K,Income!G:G,Table1[[#This Row],[Project Name]],Income!E:E,Table1[[#This Row],[Project Type]],Income!H:H,Table1[[#This Row],[Client Name]])</f>
        <v>0</v>
      </c>
      <c r="O29" s="27">
        <f>Table1[[#This Row],[Contract Value(INR)]]-Table1[[#This Row],[Received(INR)]]</f>
        <v>31000</v>
      </c>
      <c r="P29" s="3"/>
      <c r="S29" s="57"/>
      <c r="T29" s="18"/>
    </row>
    <row r="30" spans="1:20" ht="12.75" x14ac:dyDescent="0.2">
      <c r="A30" s="1">
        <f t="shared" si="0"/>
        <v>29</v>
      </c>
      <c r="B30" s="57" t="str">
        <f>TEXT(Table1[[#This Row],[Sale Date]], "dddd")</f>
        <v>Monday</v>
      </c>
      <c r="C30" s="7">
        <v>46020</v>
      </c>
      <c r="D30" s="9" t="s">
        <v>98</v>
      </c>
      <c r="E30" s="63" t="s">
        <v>105</v>
      </c>
      <c r="F30" s="1" t="s">
        <v>604</v>
      </c>
      <c r="G30" s="70" t="s">
        <v>607</v>
      </c>
      <c r="H30" t="s">
        <v>177</v>
      </c>
      <c r="I30" s="2" t="s">
        <v>178</v>
      </c>
      <c r="J30" s="2" t="s">
        <v>102</v>
      </c>
      <c r="K30" s="27">
        <v>104000</v>
      </c>
      <c r="L30" s="27">
        <v>1</v>
      </c>
      <c r="M30" s="27">
        <f>Table1[[#This Row],[Exchange]]*Table1[[#This Row],[Contract Value]]</f>
        <v>104000</v>
      </c>
      <c r="N30" s="27">
        <f>SUMIFS(Income!K:K,Income!G:G,Table1[[#This Row],[Project Name]],Income!E:E,Table1[[#This Row],[Project Type]],Income!H:H,Table1[[#This Row],[Client Name]])</f>
        <v>10000</v>
      </c>
      <c r="O30" s="27">
        <f>Table1[[#This Row],[Contract Value(INR)]]-Table1[[#This Row],[Received(INR)]]</f>
        <v>94000</v>
      </c>
      <c r="P30" s="3"/>
      <c r="T30" s="30"/>
    </row>
    <row r="31" spans="1:20" ht="12.75" x14ac:dyDescent="0.2">
      <c r="A31" s="1">
        <f t="shared" si="0"/>
        <v>30</v>
      </c>
      <c r="B31" s="57" t="str">
        <f>TEXT(Table1[[#This Row],[Sale Date]], "dddd")</f>
        <v>Monday</v>
      </c>
      <c r="C31" s="7">
        <v>46034</v>
      </c>
      <c r="D31" s="9" t="s">
        <v>98</v>
      </c>
      <c r="E31" s="63" t="s">
        <v>50</v>
      </c>
      <c r="F31" s="1" t="s">
        <v>604</v>
      </c>
      <c r="G31" s="70" t="s">
        <v>607</v>
      </c>
      <c r="H31" s="17" t="s">
        <v>179</v>
      </c>
      <c r="I31" s="63" t="s">
        <v>180</v>
      </c>
      <c r="J31" s="2" t="s">
        <v>102</v>
      </c>
      <c r="K31" s="27">
        <v>85000</v>
      </c>
      <c r="L31" s="27">
        <v>1</v>
      </c>
      <c r="M31" s="27">
        <f>Table1[[#This Row],[Exchange]]*Table1[[#This Row],[Contract Value]]</f>
        <v>85000</v>
      </c>
      <c r="N31" s="27">
        <f>SUMIFS(Income!K:K,Income!G:G,Table1[[#This Row],[Project Name]],Income!E:E,Table1[[#This Row],[Project Type]],Income!H:H,Table1[[#This Row],[Client Name]])</f>
        <v>50000</v>
      </c>
      <c r="O31" s="27">
        <f>Table1[[#This Row],[Contract Value(INR)]]-Table1[[#This Row],[Received(INR)]]</f>
        <v>35000</v>
      </c>
      <c r="P31" s="3"/>
      <c r="T31" s="30"/>
    </row>
    <row r="32" spans="1:20" ht="12.75" x14ac:dyDescent="0.2">
      <c r="A32" s="1">
        <f t="shared" si="0"/>
        <v>31</v>
      </c>
      <c r="B32" s="57" t="str">
        <f>TEXT(Table1[[#This Row],[Sale Date]], "dddd")</f>
        <v>Thursday</v>
      </c>
      <c r="C32" s="7">
        <v>46037</v>
      </c>
      <c r="D32" s="9" t="s">
        <v>114</v>
      </c>
      <c r="E32" s="59" t="s">
        <v>99</v>
      </c>
      <c r="F32" s="1" t="s">
        <v>604</v>
      </c>
      <c r="G32" s="70" t="s">
        <v>607</v>
      </c>
      <c r="H32" s="57" t="s">
        <v>183</v>
      </c>
      <c r="I32" s="2" t="s">
        <v>127</v>
      </c>
      <c r="J32" s="2" t="s">
        <v>102</v>
      </c>
      <c r="K32" s="27">
        <v>60000</v>
      </c>
      <c r="L32" s="27">
        <v>1</v>
      </c>
      <c r="M32" s="27">
        <f>Table1[[#This Row],[Exchange]]*Table1[[#This Row],[Contract Value]]</f>
        <v>60000</v>
      </c>
      <c r="N32" s="27">
        <f>SUMIFS(Income!K:K,Income!G:G,Table1[[#This Row],[Project Name]],Income!E:E,Table1[[#This Row],[Project Type]],Income!H:H,Table1[[#This Row],[Client Name]])</f>
        <v>60000</v>
      </c>
      <c r="O32" s="27">
        <f>Table1[[#This Row],[Contract Value(INR)]]-Table1[[#This Row],[Received(INR)]]</f>
        <v>0</v>
      </c>
      <c r="P32" s="3"/>
      <c r="Q32" s="36" t="s">
        <v>630</v>
      </c>
      <c r="R32" s="18">
        <f>R25+R19+R20+R26</f>
        <v>607266.15999999992</v>
      </c>
      <c r="S32" s="104"/>
    </row>
    <row r="33" spans="1:19" ht="12.75" x14ac:dyDescent="0.2">
      <c r="A33" s="1">
        <f t="shared" si="0"/>
        <v>32</v>
      </c>
      <c r="B33" s="57" t="str">
        <f>TEXT(Table1[[#This Row],[Sale Date]], "dddd")</f>
        <v>Monday</v>
      </c>
      <c r="C33" s="7">
        <v>46055</v>
      </c>
      <c r="D33" s="9" t="s">
        <v>119</v>
      </c>
      <c r="E33" s="63" t="s">
        <v>99</v>
      </c>
      <c r="F33" s="1" t="s">
        <v>604</v>
      </c>
      <c r="G33" s="1" t="s">
        <v>605</v>
      </c>
      <c r="H33" s="2" t="s">
        <v>186</v>
      </c>
      <c r="I33" s="2" t="s">
        <v>187</v>
      </c>
      <c r="J33" s="2" t="s">
        <v>102</v>
      </c>
      <c r="K33" s="27">
        <v>400000</v>
      </c>
      <c r="L33" s="27">
        <v>1</v>
      </c>
      <c r="M33" s="27">
        <f>Table1[[#This Row],[Exchange]]*Table1[[#This Row],[Contract Value]]</f>
        <v>400000</v>
      </c>
      <c r="N33" s="27">
        <f>SUMIFS(Income!K:K,Income!G:G,Table1[[#This Row],[Project Name]],Income!E:E,Table1[[#This Row],[Project Type]],Income!H:H,Table1[[#This Row],[Client Name]])</f>
        <v>150000</v>
      </c>
      <c r="O33" s="27">
        <f>Table1[[#This Row],[Contract Value(INR)]]-Table1[[#This Row],[Received(INR)]]</f>
        <v>250000</v>
      </c>
      <c r="P33" s="3"/>
      <c r="Q33" t="s">
        <v>631</v>
      </c>
      <c r="R33" s="72">
        <f>SUMIFS(M:M,E:E,"Prachi Lohani")+SUMIFS(M:M,E:E,"Parul Sandilya")++SUMIFS(M:M,E:E,"Haider")</f>
        <v>3144500</v>
      </c>
      <c r="S33" s="30"/>
    </row>
    <row r="34" spans="1:19" x14ac:dyDescent="0.25">
      <c r="A34" s="1">
        <f t="shared" si="0"/>
        <v>33</v>
      </c>
      <c r="B34" t="str">
        <f>TEXT(Table1[[#This Row],[Sale Date]], "dddd")</f>
        <v>Wednesday</v>
      </c>
      <c r="C34" s="7">
        <v>46057</v>
      </c>
      <c r="D34" s="9" t="s">
        <v>119</v>
      </c>
      <c r="E34" s="63" t="s">
        <v>99</v>
      </c>
      <c r="F34" s="1" t="s">
        <v>604</v>
      </c>
      <c r="G34" s="70" t="s">
        <v>607</v>
      </c>
      <c r="H34" s="2" t="s">
        <v>184</v>
      </c>
      <c r="I34" s="2" t="s">
        <v>155</v>
      </c>
      <c r="J34" s="2" t="s">
        <v>102</v>
      </c>
      <c r="K34" s="27">
        <v>25000</v>
      </c>
      <c r="L34" s="27">
        <v>1</v>
      </c>
      <c r="M34" s="27">
        <f>Table1[[#This Row],[Exchange]]*Table1[[#This Row],[Contract Value]]</f>
        <v>25000</v>
      </c>
      <c r="N34" s="27">
        <f>SUMIFS(Income!K:K,Income!G:G,Table1[[#This Row],[Project Name]],Income!E:E,Table1[[#This Row],[Project Type]],Income!H:H,Table1[[#This Row],[Client Name]])</f>
        <v>25000</v>
      </c>
      <c r="O34" s="27">
        <f>Table1[[#This Row],[Contract Value(INR)]]-Table1[[#This Row],[Received(INR)]]</f>
        <v>0</v>
      </c>
      <c r="P34" s="3"/>
      <c r="Q34" s="36" t="s">
        <v>632</v>
      </c>
      <c r="R34" s="85">
        <f>R33/R19</f>
        <v>11.392448905890149</v>
      </c>
      <c r="S34" s="30"/>
    </row>
    <row r="35" spans="1:19" ht="12.75" x14ac:dyDescent="0.2">
      <c r="A35" s="1">
        <f t="shared" si="0"/>
        <v>34</v>
      </c>
      <c r="B35" s="57" t="str">
        <f>TEXT(Table1[[#This Row],[Sale Date]], "dddd")</f>
        <v>Thursday</v>
      </c>
      <c r="C35" s="7">
        <v>46058</v>
      </c>
      <c r="D35" s="9" t="s">
        <v>114</v>
      </c>
      <c r="E35" s="59" t="s">
        <v>99</v>
      </c>
      <c r="F35" s="1" t="s">
        <v>604</v>
      </c>
      <c r="G35" s="1" t="s">
        <v>605</v>
      </c>
      <c r="H35" s="57" t="s">
        <v>189</v>
      </c>
      <c r="I35" s="2" t="s">
        <v>131</v>
      </c>
      <c r="J35" s="2" t="s">
        <v>102</v>
      </c>
      <c r="K35" s="27">
        <v>50000</v>
      </c>
      <c r="L35" s="27">
        <v>1</v>
      </c>
      <c r="M35" s="27">
        <f>Table1[[#This Row],[Exchange]]*Table1[[#This Row],[Contract Value]]</f>
        <v>50000</v>
      </c>
      <c r="N35" s="27">
        <f>SUMIFS(Income!K:K,Income!G:G,Table1[[#This Row],[Project Name]],Income!E:E,Table1[[#This Row],[Project Type]],Income!H:H,Table1[[#This Row],[Client Name]])</f>
        <v>50000</v>
      </c>
      <c r="O35" s="27">
        <f>Table1[[#This Row],[Contract Value(INR)]]-Table1[[#This Row],[Received(INR)]]</f>
        <v>0</v>
      </c>
      <c r="P35" s="3"/>
      <c r="S35" s="30"/>
    </row>
    <row r="36" spans="1:19" ht="12.6" customHeight="1" x14ac:dyDescent="0.2">
      <c r="A36" s="1">
        <f t="shared" si="0"/>
        <v>35</v>
      </c>
      <c r="B36" s="57" t="str">
        <f>TEXT(Table1[[#This Row],[Sale Date]], "dddd")</f>
        <v>Monday</v>
      </c>
      <c r="C36" s="7">
        <v>46076</v>
      </c>
      <c r="D36" s="9" t="s">
        <v>119</v>
      </c>
      <c r="E36" s="63" t="s">
        <v>50</v>
      </c>
      <c r="F36" s="1" t="s">
        <v>604</v>
      </c>
      <c r="G36" s="1"/>
      <c r="H36" s="2" t="s">
        <v>192</v>
      </c>
      <c r="I36" s="2" t="s">
        <v>193</v>
      </c>
      <c r="J36" s="2" t="s">
        <v>102</v>
      </c>
      <c r="K36" s="27">
        <v>190000</v>
      </c>
      <c r="L36" s="27">
        <v>1</v>
      </c>
      <c r="M36" s="27">
        <f>Table1[[#This Row],[Exchange]]*Table1[[#This Row],[Contract Value]]</f>
        <v>190000</v>
      </c>
      <c r="N36" s="27">
        <f>SUMIFS(Income!K:K,Income!G:G,Table1[[#This Row],[Project Name]],Income!E:E,Table1[[#This Row],[Project Type]],Income!H:H,Table1[[#This Row],[Client Name]])</f>
        <v>57000</v>
      </c>
      <c r="O36" s="27">
        <f>Table1[[#This Row],[Contract Value(INR)]]-Table1[[#This Row],[Received(INR)]]</f>
        <v>133000</v>
      </c>
      <c r="P36" s="3"/>
      <c r="Q36" s="36" t="s">
        <v>633</v>
      </c>
      <c r="R36" s="40">
        <f>R32/R18</f>
        <v>28917.436190476186</v>
      </c>
      <c r="S36" s="104"/>
    </row>
    <row r="37" spans="1:19" ht="12.75" x14ac:dyDescent="0.2">
      <c r="A37" s="1">
        <f t="shared" si="0"/>
        <v>36</v>
      </c>
      <c r="B37" s="57" t="str">
        <f>TEXT(Table1[[#This Row],[Sale Date]], "dddd")</f>
        <v>Wednesday</v>
      </c>
      <c r="C37" s="7">
        <v>46078</v>
      </c>
      <c r="D37" s="9" t="s">
        <v>119</v>
      </c>
      <c r="E37" s="63" t="s">
        <v>99</v>
      </c>
      <c r="F37" s="1" t="s">
        <v>604</v>
      </c>
      <c r="G37" s="70" t="s">
        <v>607</v>
      </c>
      <c r="H37" s="17" t="s">
        <v>190</v>
      </c>
      <c r="I37" s="63" t="s">
        <v>191</v>
      </c>
      <c r="J37" t="s">
        <v>102</v>
      </c>
      <c r="K37" s="27">
        <v>15010</v>
      </c>
      <c r="L37" s="27">
        <v>1</v>
      </c>
      <c r="M37" s="27">
        <f>Table1[[#This Row],[Exchange]]*Table1[[#This Row],[Contract Value]]</f>
        <v>15010</v>
      </c>
      <c r="N37" s="27">
        <f>SUMIFS(Income!K:K,Income!G:G,Table1[[#This Row],[Project Name]],Income!E:E,Table1[[#This Row],[Project Type]],Income!H:H,Table1[[#This Row],[Client Name]])</f>
        <v>15010</v>
      </c>
      <c r="O37" s="27">
        <f>Table1[[#This Row],[Contract Value(INR)]]-Table1[[#This Row],[Received(INR)]]</f>
        <v>0</v>
      </c>
      <c r="P37" s="3"/>
      <c r="S37" s="104"/>
    </row>
    <row r="38" spans="1:19" ht="12.75" x14ac:dyDescent="0.2">
      <c r="A38" s="1">
        <f t="shared" si="0"/>
        <v>37</v>
      </c>
      <c r="B38" s="57" t="str">
        <f>TEXT(Table1[[#This Row],[Sale Date]], "dddd")</f>
        <v>Wednesday</v>
      </c>
      <c r="C38" s="69">
        <v>46078</v>
      </c>
      <c r="D38" s="9" t="s">
        <v>112</v>
      </c>
      <c r="E38" s="59" t="s">
        <v>99</v>
      </c>
      <c r="F38" s="70" t="s">
        <v>604</v>
      </c>
      <c r="G38" s="70" t="s">
        <v>605</v>
      </c>
      <c r="H38" s="57" t="s">
        <v>194</v>
      </c>
      <c r="I38" s="57" t="s">
        <v>113</v>
      </c>
      <c r="J38" s="71" t="s">
        <v>102</v>
      </c>
      <c r="K38" s="72">
        <v>8000</v>
      </c>
      <c r="L38" s="27">
        <v>1</v>
      </c>
      <c r="M38" s="27">
        <f>Table1[[#This Row],[Exchange]]*Table1[[#This Row],[Contract Value]]</f>
        <v>8000</v>
      </c>
      <c r="N38" s="27">
        <f>SUMIFS(Income!K:K,Income!G:G,Table1[[#This Row],[Project Name]],Income!E:E,Table1[[#This Row],[Project Type]],Income!H:H,Table1[[#This Row],[Client Name]])</f>
        <v>8000</v>
      </c>
      <c r="O38" s="27">
        <f>Table1[[#This Row],[Contract Value(INR)]]-Table1[[#This Row],[Received(INR)]]</f>
        <v>0</v>
      </c>
      <c r="P38" s="3"/>
      <c r="Q38" s="36" t="s">
        <v>634</v>
      </c>
      <c r="R38" s="18">
        <f>Staff!D33*12</f>
        <v>6936000</v>
      </c>
    </row>
    <row r="39" spans="1:19" ht="12.75" x14ac:dyDescent="0.2">
      <c r="A39" s="1">
        <f t="shared" si="0"/>
        <v>38</v>
      </c>
      <c r="B39" s="57" t="str">
        <f>TEXT(Table1[[#This Row],[Sale Date]], "dddd")</f>
        <v>Saturday</v>
      </c>
      <c r="C39" s="7">
        <v>46081</v>
      </c>
      <c r="D39" s="9" t="s">
        <v>98</v>
      </c>
      <c r="E39" s="63" t="s">
        <v>195</v>
      </c>
      <c r="F39" s="1" t="s">
        <v>604</v>
      </c>
      <c r="G39" s="1"/>
      <c r="H39" s="17" t="s">
        <v>196</v>
      </c>
      <c r="I39" s="63" t="s">
        <v>197</v>
      </c>
      <c r="J39" s="2" t="s">
        <v>102</v>
      </c>
      <c r="K39" s="27">
        <v>206500</v>
      </c>
      <c r="L39" s="27">
        <v>1</v>
      </c>
      <c r="M39" s="27">
        <f>Table1[[#This Row],[Exchange]]*Table1[[#This Row],[Contract Value]]</f>
        <v>206500</v>
      </c>
      <c r="N39" s="27">
        <f>SUMIFS(Income!K:K,Income!G:G,Table1[[#This Row],[Project Name]],Income!E:E,Table1[[#This Row],[Project Type]],Income!H:H,Table1[[#This Row],[Client Name]])</f>
        <v>82600</v>
      </c>
      <c r="O39" s="27">
        <f>Table1[[#This Row],[Contract Value(INR)]]-Table1[[#This Row],[Received(INR)]]</f>
        <v>123900</v>
      </c>
      <c r="P39" s="3"/>
      <c r="Q39" s="57" t="s">
        <v>635</v>
      </c>
      <c r="R39" s="18">
        <f ca="1">R14-R38</f>
        <v>2013172.65625</v>
      </c>
    </row>
    <row r="40" spans="1:19" ht="12.75" x14ac:dyDescent="0.2">
      <c r="A40" s="1">
        <f t="shared" si="0"/>
        <v>39</v>
      </c>
      <c r="B40" s="57" t="str">
        <f>TEXT(Table1[[#This Row],[Sale Date]], "dddd")</f>
        <v>Thursday</v>
      </c>
      <c r="C40" s="7">
        <v>46086</v>
      </c>
      <c r="D40" s="9" t="s">
        <v>98</v>
      </c>
      <c r="E40" s="63" t="s">
        <v>99</v>
      </c>
      <c r="F40" s="1" t="s">
        <v>604</v>
      </c>
      <c r="G40" s="70" t="s">
        <v>607</v>
      </c>
      <c r="H40" s="17" t="s">
        <v>198</v>
      </c>
      <c r="I40" s="63" t="s">
        <v>191</v>
      </c>
      <c r="J40" t="s">
        <v>102</v>
      </c>
      <c r="K40" s="27">
        <v>95000</v>
      </c>
      <c r="L40" s="27">
        <v>1</v>
      </c>
      <c r="M40" s="27">
        <f>Table1[[#This Row],[Exchange]]*Table1[[#This Row],[Contract Value]]</f>
        <v>95000</v>
      </c>
      <c r="N40" s="27">
        <f>SUMIFS(Income!K:K,Income!G:G,Table1[[#This Row],[Project Name]],Income!E:E,Table1[[#This Row],[Project Type]],Income!H:H,Table1[[#This Row],[Client Name]])</f>
        <v>30000</v>
      </c>
      <c r="O40" s="27">
        <f>Table1[[#This Row],[Contract Value(INR)]]-Table1[[#This Row],[Received(INR)]]</f>
        <v>65000</v>
      </c>
      <c r="P40" s="3"/>
      <c r="Q40" s="36" t="s">
        <v>636</v>
      </c>
      <c r="R40" s="18">
        <f ca="1">R39*25%</f>
        <v>503293.1640625</v>
      </c>
    </row>
    <row r="41" spans="1:19" ht="12.75" x14ac:dyDescent="0.2">
      <c r="A41" s="1"/>
      <c r="B41" s="6"/>
      <c r="C41" s="102"/>
      <c r="D41" s="9"/>
      <c r="E41" s="63"/>
      <c r="F41" s="1"/>
      <c r="G41" s="1"/>
      <c r="H41" s="2"/>
      <c r="I41" s="2"/>
      <c r="J41" s="2"/>
      <c r="K41" s="27"/>
      <c r="L41" s="27"/>
      <c r="M41" s="27">
        <f>Table1[[#This Row],[Exchange]]*Table1[[#This Row],[Contract Value]]</f>
        <v>0</v>
      </c>
      <c r="N41" s="27">
        <f>SUMIFS(Income!K:K,Income!G:G,Table1[[#This Row],[Project Name]],Income!E:E,Table1[[#This Row],[Project Type]],Income!H:H,Table1[[#This Row],[Client Name]])</f>
        <v>0</v>
      </c>
      <c r="O41" s="27">
        <f>Table1[[#This Row],[Contract Value(INR)]]-Table1[[#This Row],[Received(INR)]]</f>
        <v>0</v>
      </c>
      <c r="P41" s="3"/>
      <c r="Q41" s="57" t="s">
        <v>637</v>
      </c>
      <c r="R41" s="18">
        <f ca="1">R39-R40</f>
        <v>1509879.4921875</v>
      </c>
    </row>
    <row r="42" spans="1:19" ht="13.5" thickBot="1" x14ac:dyDescent="0.25">
      <c r="A42" s="1"/>
      <c r="B42" s="6"/>
      <c r="C42" s="7"/>
      <c r="D42" s="9"/>
      <c r="E42" s="63"/>
      <c r="F42" s="1"/>
      <c r="G42" s="1"/>
      <c r="H42" s="2"/>
      <c r="I42" s="2"/>
      <c r="J42" s="2"/>
      <c r="K42" s="27"/>
      <c r="L42" s="27"/>
      <c r="M42" s="27">
        <f>Table1[[#This Row],[Exchange]]*Table1[[#This Row],[Contract Value]]</f>
        <v>0</v>
      </c>
      <c r="N42" s="27">
        <f>SUMIFS(Income!K:K,Income!G:G,Table1[[#This Row],[Project Name]],Income!E:E,Table1[[#This Row],[Project Type]],Income!H:H,Table1[[#This Row],[Client Name]])</f>
        <v>0</v>
      </c>
      <c r="O42" s="27">
        <f>Table1[[#This Row],[Contract Value(INR)]]-Table1[[#This Row],[Received(INR)]]</f>
        <v>0</v>
      </c>
      <c r="P42" s="3"/>
      <c r="Q42" s="36" t="s">
        <v>638</v>
      </c>
      <c r="R42" s="41">
        <f ca="1">R41/5/12</f>
        <v>25164.658203125</v>
      </c>
    </row>
    <row r="43" spans="1:19" ht="13.5" thickTop="1" x14ac:dyDescent="0.2">
      <c r="A43" s="1"/>
      <c r="B43" s="6"/>
      <c r="C43" s="7"/>
      <c r="D43" s="9"/>
      <c r="E43" s="63"/>
      <c r="F43" s="1"/>
      <c r="G43" s="1"/>
      <c r="H43" s="2"/>
      <c r="I43" s="2"/>
      <c r="J43" s="2"/>
      <c r="K43" s="27"/>
      <c r="L43" s="27"/>
      <c r="M43" s="27">
        <f>Table1[[#This Row],[Exchange]]*Table1[[#This Row],[Contract Value]]</f>
        <v>0</v>
      </c>
      <c r="N43" s="27">
        <f>SUMIFS(Income!K:K,Income!G:G,Table1[[#This Row],[Project Name]],Income!E:E,Table1[[#This Row],[Project Type]],Income!H:H,Table1[[#This Row],[Client Name]])</f>
        <v>0</v>
      </c>
      <c r="O43" s="27">
        <f>Table1[[#This Row],[Contract Value(INR)]]-Table1[[#This Row],[Received(INR)]]</f>
        <v>0</v>
      </c>
      <c r="P43" s="3"/>
    </row>
    <row r="44" spans="1:19" ht="12.75" x14ac:dyDescent="0.2">
      <c r="A44" s="1"/>
      <c r="K44" s="27"/>
      <c r="M44" s="27"/>
      <c r="N44" s="27"/>
      <c r="O44" s="27"/>
    </row>
    <row r="45" spans="1:19" ht="12.75" x14ac:dyDescent="0.2">
      <c r="A45" s="1"/>
      <c r="K45" s="27"/>
      <c r="M45" s="27"/>
      <c r="N45" s="27"/>
      <c r="O45" s="27"/>
    </row>
    <row r="46" spans="1:19" ht="12.75" x14ac:dyDescent="0.2">
      <c r="A46" s="1"/>
      <c r="K46" s="27"/>
      <c r="M46" s="27"/>
      <c r="N46" s="27"/>
      <c r="O46" s="27"/>
    </row>
    <row r="47" spans="1:19" ht="12.75" x14ac:dyDescent="0.2">
      <c r="A47" s="1"/>
      <c r="K47" s="27"/>
      <c r="M47" s="27"/>
      <c r="N47" s="27"/>
      <c r="O47" s="27"/>
    </row>
    <row r="48" spans="1:19" ht="12.75" x14ac:dyDescent="0.2">
      <c r="A48" s="1"/>
      <c r="K48" s="27"/>
      <c r="M48" s="27"/>
      <c r="N48" s="27"/>
      <c r="O48" s="27"/>
    </row>
    <row r="49" spans="1:15" ht="12.75" x14ac:dyDescent="0.2">
      <c r="A49" s="1"/>
      <c r="K49" s="27"/>
      <c r="M49" s="27"/>
      <c r="N49" s="27"/>
      <c r="O49" s="27"/>
    </row>
    <row r="50" spans="1:15" ht="12.75" x14ac:dyDescent="0.2">
      <c r="A50" s="1"/>
      <c r="K50" s="27"/>
      <c r="M50" s="27"/>
      <c r="N50" s="27"/>
      <c r="O50" s="27"/>
    </row>
    <row r="51" spans="1:15" ht="12.75" x14ac:dyDescent="0.2">
      <c r="A51" s="1"/>
      <c r="K51" s="27"/>
      <c r="M51" s="27"/>
      <c r="N51" s="27"/>
      <c r="O51" s="27"/>
    </row>
    <row r="52" spans="1:15" ht="12.75" x14ac:dyDescent="0.2">
      <c r="A52" s="1"/>
      <c r="K52" s="27"/>
      <c r="M52" s="27"/>
      <c r="N52" s="27"/>
      <c r="O52" s="27"/>
    </row>
    <row r="53" spans="1:15" ht="12.75" x14ac:dyDescent="0.2">
      <c r="A53" s="1"/>
      <c r="K53" s="27"/>
      <c r="M53" s="27"/>
      <c r="N53" s="27"/>
      <c r="O53" s="27"/>
    </row>
    <row r="54" spans="1:15" ht="12.75" x14ac:dyDescent="0.2">
      <c r="A54" s="1"/>
      <c r="K54" s="27"/>
      <c r="M54" s="27"/>
      <c r="N54" s="27"/>
      <c r="O54" s="27"/>
    </row>
    <row r="55" spans="1:15" ht="12.75" x14ac:dyDescent="0.2">
      <c r="A55" s="1"/>
      <c r="K55" s="27"/>
      <c r="M55" s="27"/>
      <c r="N55" s="27"/>
      <c r="O55" s="27"/>
    </row>
    <row r="56" spans="1:15" ht="12.75" x14ac:dyDescent="0.2">
      <c r="A56" s="1"/>
      <c r="K56" s="27"/>
      <c r="M56" s="27"/>
      <c r="N56" s="27"/>
      <c r="O56" s="27"/>
    </row>
    <row r="57" spans="1:15" ht="12.75" x14ac:dyDescent="0.2">
      <c r="A57" s="1"/>
      <c r="K57" s="27"/>
      <c r="M57" s="27"/>
      <c r="N57" s="27"/>
      <c r="O57" s="27"/>
    </row>
    <row r="58" spans="1:15" ht="12.75" x14ac:dyDescent="0.2">
      <c r="A58" s="1"/>
      <c r="E58" s="17"/>
      <c r="F58" s="26"/>
      <c r="G58" s="26"/>
      <c r="K58" s="27"/>
      <c r="M58" s="27"/>
      <c r="N58" s="27"/>
      <c r="O58" s="27"/>
    </row>
    <row r="59" spans="1:15" ht="12.75" x14ac:dyDescent="0.2">
      <c r="A59" s="1"/>
      <c r="C59" s="26"/>
      <c r="E59" s="17"/>
      <c r="F59" s="26"/>
      <c r="G59" s="26"/>
      <c r="K59" s="27"/>
      <c r="M59" s="27"/>
      <c r="N59" s="27"/>
      <c r="O59" s="27"/>
    </row>
    <row r="60" spans="1:15" ht="12.75" x14ac:dyDescent="0.2">
      <c r="A60" s="1"/>
      <c r="E60" s="17"/>
      <c r="K60" s="27"/>
      <c r="M60" s="27"/>
      <c r="N60" s="27"/>
      <c r="O60" s="27"/>
    </row>
    <row r="61" spans="1:15" ht="12.75" x14ac:dyDescent="0.2">
      <c r="A61" s="1"/>
      <c r="E61" s="17"/>
      <c r="K61" s="27"/>
      <c r="M61" s="27"/>
      <c r="N61" s="27"/>
      <c r="O61" s="27"/>
    </row>
    <row r="62" spans="1:15" ht="12.75" x14ac:dyDescent="0.2">
      <c r="A62" s="1"/>
      <c r="E62" s="17"/>
      <c r="K62" s="27"/>
      <c r="M62" s="27"/>
      <c r="N62" s="27"/>
      <c r="O62" s="27"/>
    </row>
    <row r="63" spans="1:15" ht="12.75" x14ac:dyDescent="0.2">
      <c r="A63" s="1"/>
      <c r="K63" s="27"/>
      <c r="M63" s="27"/>
      <c r="N63" s="27"/>
      <c r="O63" s="27"/>
    </row>
    <row r="64" spans="1:15" ht="12.75" x14ac:dyDescent="0.2">
      <c r="A64" s="1"/>
      <c r="K64" s="27"/>
      <c r="M64" s="27"/>
      <c r="N64" s="27"/>
      <c r="O64" s="27"/>
    </row>
    <row r="65" spans="1:15" ht="12.75" x14ac:dyDescent="0.2">
      <c r="A65" s="1"/>
      <c r="F65" s="12"/>
      <c r="G65" s="12"/>
      <c r="K65" s="27"/>
      <c r="M65" s="27"/>
      <c r="N65" s="27"/>
      <c r="O65" s="27"/>
    </row>
    <row r="66" spans="1:15" ht="12.75" x14ac:dyDescent="0.2">
      <c r="A66" s="1"/>
      <c r="F66" s="12"/>
      <c r="G66" s="12"/>
      <c r="K66" s="27"/>
      <c r="M66" s="27"/>
      <c r="N66" s="27"/>
      <c r="O66" s="27"/>
    </row>
    <row r="67" spans="1:15" ht="12.75" x14ac:dyDescent="0.2">
      <c r="A67" s="1"/>
      <c r="K67" s="27"/>
      <c r="M67" s="27"/>
      <c r="N67" s="27"/>
      <c r="O67" s="27"/>
    </row>
    <row r="68" spans="1:15" ht="12.75" x14ac:dyDescent="0.2">
      <c r="A68" s="1"/>
      <c r="K68" s="27"/>
      <c r="M68" s="27"/>
      <c r="N68" s="27"/>
      <c r="O68" s="27"/>
    </row>
    <row r="69" spans="1:15" ht="12.75" x14ac:dyDescent="0.2">
      <c r="A69" s="1"/>
      <c r="K69" s="27"/>
      <c r="M69" s="27"/>
      <c r="N69" s="27"/>
      <c r="O69" s="27"/>
    </row>
    <row r="70" spans="1:15" ht="12.75" x14ac:dyDescent="0.2">
      <c r="A70" s="1"/>
      <c r="K70" s="27"/>
      <c r="M70" s="27"/>
      <c r="N70" s="27"/>
      <c r="O70" s="27"/>
    </row>
    <row r="71" spans="1:15" ht="12.75" x14ac:dyDescent="0.2">
      <c r="A71" s="1"/>
      <c r="K71" s="27"/>
      <c r="M71" s="27"/>
      <c r="N71" s="27"/>
      <c r="O71" s="27"/>
    </row>
    <row r="72" spans="1:15" ht="12.75" x14ac:dyDescent="0.2">
      <c r="A72" s="1"/>
      <c r="K72" s="27"/>
      <c r="M72" s="27"/>
      <c r="N72" s="27"/>
      <c r="O72" s="27"/>
    </row>
    <row r="73" spans="1:15" ht="12.75" x14ac:dyDescent="0.2">
      <c r="A73" s="1"/>
      <c r="K73" s="27"/>
      <c r="M73" s="27"/>
      <c r="N73" s="27"/>
      <c r="O73" s="27"/>
    </row>
    <row r="74" spans="1:15" ht="12.75" x14ac:dyDescent="0.2">
      <c r="A74" s="1"/>
      <c r="K74" s="27"/>
      <c r="M74" s="27"/>
      <c r="N74" s="27"/>
      <c r="O74" s="27"/>
    </row>
    <row r="75" spans="1:15" ht="12.75" x14ac:dyDescent="0.2">
      <c r="A75" s="1"/>
      <c r="K75" s="27"/>
      <c r="M75" s="27"/>
      <c r="N75" s="27"/>
      <c r="O75" s="27"/>
    </row>
    <row r="76" spans="1:15" ht="12.75" x14ac:dyDescent="0.2">
      <c r="A76" s="1"/>
      <c r="K76" s="27"/>
      <c r="M76" s="27"/>
      <c r="N76" s="27"/>
      <c r="O76" s="27"/>
    </row>
    <row r="77" spans="1:15" ht="12.75" x14ac:dyDescent="0.2">
      <c r="A77" s="1"/>
      <c r="K77" s="27"/>
      <c r="M77" s="27"/>
      <c r="N77" s="27"/>
      <c r="O77" s="27"/>
    </row>
    <row r="78" spans="1:15" ht="12.75" x14ac:dyDescent="0.2">
      <c r="A78" s="1"/>
      <c r="K78" s="27"/>
      <c r="M78" s="27"/>
      <c r="N78" s="27"/>
      <c r="O78" s="27"/>
    </row>
    <row r="79" spans="1:15" ht="12.75" x14ac:dyDescent="0.2">
      <c r="A79" s="1"/>
      <c r="K79" s="27"/>
      <c r="M79" s="27"/>
      <c r="N79" s="27"/>
      <c r="O79" s="27"/>
    </row>
    <row r="80" spans="1:15" ht="12.75" x14ac:dyDescent="0.2">
      <c r="A80" s="1"/>
      <c r="K80" s="27"/>
      <c r="M80" s="27"/>
      <c r="N80" s="27"/>
      <c r="O80" s="27"/>
    </row>
    <row r="81" spans="1:15" ht="12.75" x14ac:dyDescent="0.2">
      <c r="A81" s="1"/>
      <c r="K81" s="27"/>
      <c r="M81" s="27"/>
      <c r="N81" s="27"/>
      <c r="O81" s="27"/>
    </row>
    <row r="82" spans="1:15" ht="12.75" x14ac:dyDescent="0.2">
      <c r="A82" s="1"/>
      <c r="K82" s="27"/>
      <c r="M82" s="27"/>
      <c r="N82" s="27"/>
      <c r="O82" s="27"/>
    </row>
    <row r="83" spans="1:15" ht="12.75" x14ac:dyDescent="0.2">
      <c r="A83" s="1"/>
      <c r="K83" s="27"/>
      <c r="M83" s="27"/>
      <c r="N83" s="27"/>
      <c r="O83" s="27"/>
    </row>
    <row r="84" spans="1:15" ht="12.75" x14ac:dyDescent="0.2">
      <c r="A84" s="1"/>
      <c r="K84" s="27"/>
      <c r="M84" s="27"/>
      <c r="N84" s="27"/>
      <c r="O84" s="27"/>
    </row>
    <row r="85" spans="1:15" ht="12.75" x14ac:dyDescent="0.2">
      <c r="A85" s="1"/>
      <c r="K85" s="27"/>
      <c r="M85" s="27"/>
      <c r="N85" s="27"/>
      <c r="O85" s="27"/>
    </row>
    <row r="86" spans="1:15" ht="12.75" x14ac:dyDescent="0.2">
      <c r="A86" s="1"/>
      <c r="K86" s="27"/>
      <c r="M86" s="27"/>
      <c r="N86" s="27"/>
      <c r="O86" s="27"/>
    </row>
    <row r="87" spans="1:15" ht="12.75" x14ac:dyDescent="0.2">
      <c r="A87" s="1"/>
      <c r="K87" s="27"/>
      <c r="M87" s="27"/>
      <c r="N87" s="27"/>
      <c r="O87" s="27"/>
    </row>
    <row r="88" spans="1:15" ht="12.75" x14ac:dyDescent="0.2">
      <c r="A88" s="1"/>
      <c r="K88" s="27"/>
      <c r="M88" s="27"/>
      <c r="N88" s="27"/>
      <c r="O88" s="27"/>
    </row>
    <row r="89" spans="1:15" ht="12.75" x14ac:dyDescent="0.2">
      <c r="A89" s="1"/>
      <c r="K89" s="27"/>
      <c r="M89" s="27"/>
      <c r="N89" s="27"/>
      <c r="O89" s="27"/>
    </row>
    <row r="90" spans="1:15" ht="12.75" x14ac:dyDescent="0.2">
      <c r="A90" s="1"/>
      <c r="K90" s="27"/>
      <c r="M90" s="27"/>
      <c r="N90" s="27"/>
      <c r="O90" s="27"/>
    </row>
    <row r="91" spans="1:15" ht="12.75" x14ac:dyDescent="0.2">
      <c r="A91" s="1"/>
      <c r="K91" s="27"/>
      <c r="M91" s="27"/>
      <c r="N91" s="27"/>
      <c r="O91" s="27"/>
    </row>
    <row r="92" spans="1:15" ht="12.75" x14ac:dyDescent="0.2">
      <c r="A92" s="1"/>
      <c r="K92" s="27"/>
      <c r="M92" s="27"/>
      <c r="N92" s="27"/>
      <c r="O92" s="27"/>
    </row>
    <row r="93" spans="1:15" ht="12.75" x14ac:dyDescent="0.2">
      <c r="A93" s="1"/>
      <c r="K93" s="27"/>
      <c r="M93" s="27"/>
      <c r="N93" s="27"/>
      <c r="O93" s="27"/>
    </row>
    <row r="94" spans="1:15" ht="12.75" x14ac:dyDescent="0.2">
      <c r="A94" s="1"/>
      <c r="K94" s="27"/>
      <c r="M94" s="27"/>
      <c r="N94" s="27"/>
      <c r="O94" s="27"/>
    </row>
    <row r="95" spans="1:15" ht="12.75" x14ac:dyDescent="0.2">
      <c r="A95" s="1"/>
      <c r="K95" s="27"/>
      <c r="M95" s="27"/>
      <c r="N95" s="27"/>
      <c r="O95" s="27"/>
    </row>
    <row r="96" spans="1:15" ht="12.75" x14ac:dyDescent="0.2">
      <c r="A96" s="1"/>
      <c r="K96" s="27"/>
      <c r="M96" s="27"/>
      <c r="N96" s="27"/>
      <c r="O96" s="27"/>
    </row>
    <row r="97" spans="1:15" ht="12.75" x14ac:dyDescent="0.2">
      <c r="A97" s="1"/>
      <c r="K97" s="27"/>
      <c r="M97" s="27"/>
      <c r="N97" s="27"/>
      <c r="O97" s="27"/>
    </row>
    <row r="98" spans="1:15" ht="12.75" x14ac:dyDescent="0.2">
      <c r="A98" s="1"/>
      <c r="K98" s="27"/>
      <c r="M98" s="27"/>
      <c r="N98" s="27"/>
      <c r="O98" s="27"/>
    </row>
    <row r="99" spans="1:15" ht="12.75" x14ac:dyDescent="0.2">
      <c r="A99" s="1"/>
      <c r="K99" s="27"/>
      <c r="M99" s="27"/>
      <c r="N99" s="27"/>
      <c r="O99" s="27"/>
    </row>
    <row r="100" spans="1:15" ht="12.75" x14ac:dyDescent="0.2">
      <c r="A100" s="1"/>
      <c r="K100" s="27"/>
      <c r="M100" s="27"/>
      <c r="N100" s="27"/>
      <c r="O100" s="27"/>
    </row>
    <row r="101" spans="1:15" ht="12.75" x14ac:dyDescent="0.2">
      <c r="A101" s="1"/>
      <c r="K101" s="27"/>
      <c r="M101" s="27"/>
      <c r="N101" s="27"/>
      <c r="O101" s="27"/>
    </row>
    <row r="102" spans="1:15" ht="12.75" x14ac:dyDescent="0.2">
      <c r="A102" s="1"/>
      <c r="K102" s="27"/>
      <c r="M102" s="27"/>
      <c r="N102" s="27"/>
      <c r="O102" s="27"/>
    </row>
    <row r="103" spans="1:15" ht="12.75" x14ac:dyDescent="0.2">
      <c r="A103" s="1"/>
      <c r="K103" s="27"/>
      <c r="M103" s="27"/>
      <c r="N103" s="27"/>
      <c r="O103" s="27"/>
    </row>
    <row r="104" spans="1:15" ht="12.75" x14ac:dyDescent="0.2">
      <c r="A104" s="1"/>
      <c r="K104" s="27"/>
      <c r="M104" s="27"/>
      <c r="N104" s="27"/>
      <c r="O104" s="27"/>
    </row>
    <row r="105" spans="1:15" ht="12.75" x14ac:dyDescent="0.2">
      <c r="A105" s="1"/>
      <c r="K105" s="27"/>
      <c r="M105" s="27"/>
      <c r="N105" s="27"/>
      <c r="O105" s="27"/>
    </row>
    <row r="106" spans="1:15" ht="12.75" x14ac:dyDescent="0.2">
      <c r="A106" s="1"/>
      <c r="K106" s="27"/>
      <c r="M106" s="27"/>
      <c r="N106" s="27"/>
      <c r="O106" s="27"/>
    </row>
    <row r="107" spans="1:15" ht="12.75" x14ac:dyDescent="0.2">
      <c r="A107" s="1"/>
      <c r="K107" s="27"/>
      <c r="M107" s="27"/>
      <c r="N107" s="27"/>
      <c r="O107" s="27"/>
    </row>
    <row r="108" spans="1:15" ht="12.75" x14ac:dyDescent="0.2">
      <c r="A108" s="1"/>
      <c r="K108" s="27"/>
      <c r="M108" s="27"/>
      <c r="N108" s="27"/>
      <c r="O108" s="27"/>
    </row>
    <row r="109" spans="1:15" ht="12.75" x14ac:dyDescent="0.2">
      <c r="A109" s="1"/>
      <c r="K109" s="27"/>
      <c r="M109" s="27"/>
      <c r="N109" s="27"/>
      <c r="O109" s="27"/>
    </row>
    <row r="110" spans="1:15" ht="12.75" x14ac:dyDescent="0.2">
      <c r="A110" s="1"/>
      <c r="K110" s="27"/>
      <c r="M110" s="27"/>
      <c r="N110" s="27"/>
      <c r="O110" s="27"/>
    </row>
    <row r="111" spans="1:15" ht="12.75" x14ac:dyDescent="0.2">
      <c r="A111" s="1"/>
      <c r="K111" s="27"/>
      <c r="M111" s="27"/>
      <c r="N111" s="27"/>
      <c r="O111" s="27"/>
    </row>
    <row r="112" spans="1:15" ht="12.75" x14ac:dyDescent="0.2">
      <c r="A112" s="1"/>
      <c r="K112" s="27"/>
      <c r="M112" s="27"/>
      <c r="N112" s="27"/>
      <c r="O112" s="27"/>
    </row>
    <row r="113" spans="1:15" ht="12.75" x14ac:dyDescent="0.2">
      <c r="A113" s="1"/>
      <c r="K113" s="27"/>
      <c r="M113" s="27"/>
      <c r="N113" s="27"/>
      <c r="O113" s="27"/>
    </row>
    <row r="114" spans="1:15" ht="12.75" x14ac:dyDescent="0.2">
      <c r="A114" s="1"/>
      <c r="K114" s="27"/>
      <c r="M114" s="27"/>
      <c r="N114" s="27"/>
      <c r="O114" s="27"/>
    </row>
    <row r="115" spans="1:15" ht="12.75" x14ac:dyDescent="0.2">
      <c r="A115" s="1"/>
      <c r="K115" s="27"/>
      <c r="M115" s="27"/>
      <c r="N115" s="27"/>
      <c r="O115" s="27"/>
    </row>
    <row r="116" spans="1:15" ht="12.75" x14ac:dyDescent="0.2">
      <c r="A116" s="1"/>
      <c r="K116" s="27"/>
      <c r="M116" s="27"/>
      <c r="N116" s="27"/>
      <c r="O116" s="27"/>
    </row>
    <row r="117" spans="1:15" ht="12.75" x14ac:dyDescent="0.2">
      <c r="A117" s="1"/>
      <c r="K117" s="27"/>
      <c r="M117" s="27"/>
      <c r="N117" s="27"/>
      <c r="O117" s="27"/>
    </row>
    <row r="118" spans="1:15" ht="12.75" x14ac:dyDescent="0.2">
      <c r="A118" s="1"/>
      <c r="K118" s="27"/>
      <c r="M118" s="27"/>
      <c r="N118" s="27"/>
      <c r="O118" s="27"/>
    </row>
    <row r="119" spans="1:15" ht="12.75" x14ac:dyDescent="0.2">
      <c r="A119" s="1"/>
      <c r="K119" s="27"/>
      <c r="M119" s="27"/>
      <c r="N119" s="27"/>
      <c r="O119" s="27"/>
    </row>
    <row r="120" spans="1:15" ht="12.75" x14ac:dyDescent="0.2">
      <c r="A120" s="1"/>
      <c r="K120" s="27"/>
      <c r="M120" s="27"/>
      <c r="N120" s="27"/>
      <c r="O120" s="27"/>
    </row>
    <row r="121" spans="1:15" ht="12.75" x14ac:dyDescent="0.2">
      <c r="A121" s="1"/>
      <c r="K121" s="27"/>
      <c r="M121" s="27"/>
      <c r="N121" s="27"/>
      <c r="O121" s="27"/>
    </row>
    <row r="122" spans="1:15" ht="12.75" x14ac:dyDescent="0.2">
      <c r="A122" s="1"/>
      <c r="K122" s="27"/>
      <c r="M122" s="27"/>
      <c r="N122" s="27"/>
      <c r="O122" s="27"/>
    </row>
    <row r="123" spans="1:15" ht="12.75" x14ac:dyDescent="0.2">
      <c r="A123" s="1"/>
      <c r="K123" s="27"/>
      <c r="M123" s="27"/>
      <c r="N123" s="27"/>
      <c r="O123" s="27"/>
    </row>
    <row r="124" spans="1:15" ht="12.75" x14ac:dyDescent="0.2">
      <c r="A124" s="1"/>
      <c r="K124" s="27"/>
      <c r="M124" s="27"/>
      <c r="N124" s="27"/>
      <c r="O124" s="27"/>
    </row>
    <row r="125" spans="1:15" ht="12.75" x14ac:dyDescent="0.2">
      <c r="A125" s="1"/>
      <c r="K125" s="27"/>
      <c r="M125" s="27"/>
      <c r="N125" s="27"/>
      <c r="O125" s="27"/>
    </row>
    <row r="126" spans="1:15" ht="12.75" x14ac:dyDescent="0.2">
      <c r="A126" s="1"/>
      <c r="K126" s="27"/>
      <c r="M126" s="27"/>
      <c r="N126" s="27"/>
      <c r="O126" s="27"/>
    </row>
    <row r="127" spans="1:15" ht="12.75" x14ac:dyDescent="0.2">
      <c r="A127" s="1"/>
      <c r="K127" s="27"/>
      <c r="M127" s="27"/>
      <c r="N127" s="27"/>
      <c r="O127" s="27"/>
    </row>
    <row r="128" spans="1:15" ht="12.75" x14ac:dyDescent="0.2">
      <c r="A128" s="1"/>
      <c r="K128" s="27"/>
      <c r="M128" s="27"/>
      <c r="N128" s="27"/>
      <c r="O128" s="27"/>
    </row>
    <row r="129" spans="1:15" ht="12.75" x14ac:dyDescent="0.2">
      <c r="A129" s="1"/>
      <c r="K129" s="27"/>
      <c r="M129" s="27"/>
      <c r="N129" s="27"/>
      <c r="O129" s="27"/>
    </row>
    <row r="130" spans="1:15" ht="12.75" x14ac:dyDescent="0.2">
      <c r="A130" s="1"/>
      <c r="K130" s="27"/>
      <c r="M130" s="27"/>
      <c r="N130" s="27"/>
      <c r="O130" s="27"/>
    </row>
    <row r="131" spans="1:15" ht="12.75" x14ac:dyDescent="0.2">
      <c r="A131" s="1"/>
      <c r="K131" s="27"/>
      <c r="M131" s="27"/>
      <c r="N131" s="27"/>
      <c r="O131" s="27"/>
    </row>
    <row r="132" spans="1:15" ht="12.75" x14ac:dyDescent="0.2">
      <c r="A132" s="1"/>
      <c r="K132" s="27"/>
      <c r="M132" s="27"/>
      <c r="N132" s="27"/>
      <c r="O132" s="27"/>
    </row>
    <row r="133" spans="1:15" ht="12.75" x14ac:dyDescent="0.2">
      <c r="A133" s="1"/>
      <c r="K133" s="27"/>
      <c r="M133" s="27"/>
      <c r="N133" s="27"/>
      <c r="O133" s="27"/>
    </row>
    <row r="134" spans="1:15" ht="12.75" x14ac:dyDescent="0.2">
      <c r="A134" s="1"/>
      <c r="K134" s="27"/>
      <c r="M134" s="27"/>
      <c r="N134" s="27"/>
      <c r="O134" s="27"/>
    </row>
    <row r="135" spans="1:15" ht="12.75" x14ac:dyDescent="0.2">
      <c r="A135" s="1"/>
      <c r="K135" s="27"/>
      <c r="M135" s="27"/>
      <c r="N135" s="27"/>
      <c r="O135" s="27"/>
    </row>
    <row r="136" spans="1:15" ht="12.75" x14ac:dyDescent="0.2">
      <c r="A136" s="1"/>
      <c r="K136" s="27"/>
      <c r="M136" s="27"/>
      <c r="N136" s="27"/>
      <c r="O136" s="27"/>
    </row>
    <row r="137" spans="1:15" ht="12.75" x14ac:dyDescent="0.2">
      <c r="A137" s="1"/>
      <c r="K137" s="27"/>
      <c r="M137" s="27"/>
      <c r="N137" s="27"/>
      <c r="O137" s="27"/>
    </row>
    <row r="138" spans="1:15" ht="12.75" x14ac:dyDescent="0.2">
      <c r="A138" s="1"/>
      <c r="K138" s="27"/>
      <c r="M138" s="27"/>
      <c r="N138" s="27"/>
      <c r="O138" s="27"/>
    </row>
    <row r="139" spans="1:15" ht="12.75" x14ac:dyDescent="0.2">
      <c r="A139" s="1"/>
      <c r="K139" s="27"/>
      <c r="M139" s="27"/>
      <c r="N139" s="27"/>
      <c r="O139" s="27"/>
    </row>
    <row r="140" spans="1:15" ht="12.75" x14ac:dyDescent="0.2">
      <c r="A140" s="1"/>
      <c r="K140" s="27"/>
      <c r="M140" s="27"/>
      <c r="N140" s="27"/>
      <c r="O140" s="27"/>
    </row>
    <row r="141" spans="1:15" ht="12.75" x14ac:dyDescent="0.2">
      <c r="A141" s="1"/>
      <c r="K141" s="27"/>
      <c r="M141" s="27"/>
      <c r="N141" s="27"/>
      <c r="O141" s="27"/>
    </row>
    <row r="142" spans="1:15" ht="12.75" x14ac:dyDescent="0.2">
      <c r="A142" s="1"/>
      <c r="K142" s="27"/>
      <c r="M142" s="27"/>
      <c r="N142" s="27"/>
      <c r="O142" s="27"/>
    </row>
    <row r="143" spans="1:15" ht="12.75" x14ac:dyDescent="0.2">
      <c r="A143" s="1"/>
      <c r="K143" s="27"/>
      <c r="M143" s="27"/>
      <c r="N143" s="27"/>
      <c r="O143" s="27"/>
    </row>
    <row r="144" spans="1:15" ht="12.75" x14ac:dyDescent="0.2">
      <c r="A144" s="1"/>
      <c r="K144" s="27"/>
      <c r="M144" s="27"/>
      <c r="N144" s="27"/>
      <c r="O144" s="27"/>
    </row>
    <row r="145" spans="1:15" ht="12.75" x14ac:dyDescent="0.2">
      <c r="A145" s="1"/>
      <c r="K145" s="27"/>
      <c r="M145" s="27"/>
      <c r="N145" s="27"/>
      <c r="O145" s="27"/>
    </row>
    <row r="146" spans="1:15" ht="12.75" x14ac:dyDescent="0.2">
      <c r="A146" s="1"/>
      <c r="K146" s="27"/>
      <c r="M146" s="27"/>
      <c r="N146" s="27"/>
      <c r="O146" s="27"/>
    </row>
    <row r="147" spans="1:15" ht="12.75" x14ac:dyDescent="0.2">
      <c r="A147" s="1"/>
      <c r="K147" s="27"/>
      <c r="M147" s="27"/>
      <c r="N147" s="27"/>
      <c r="O147" s="27"/>
    </row>
    <row r="148" spans="1:15" ht="12.75" x14ac:dyDescent="0.2">
      <c r="A148" s="1"/>
      <c r="K148" s="27"/>
      <c r="M148" s="27"/>
      <c r="N148" s="27"/>
      <c r="O148" s="27"/>
    </row>
    <row r="149" spans="1:15" ht="12.75" x14ac:dyDescent="0.2">
      <c r="A149" s="1"/>
      <c r="K149" s="27"/>
      <c r="M149" s="27"/>
      <c r="N149" s="27"/>
      <c r="O149" s="27"/>
    </row>
    <row r="150" spans="1:15" ht="12.75" x14ac:dyDescent="0.2">
      <c r="A150" s="1"/>
      <c r="K150" s="27"/>
      <c r="M150" s="27"/>
      <c r="N150" s="27"/>
      <c r="O150" s="27"/>
    </row>
    <row r="151" spans="1:15" ht="12.75" x14ac:dyDescent="0.2">
      <c r="A151" s="1"/>
      <c r="K151" s="27"/>
      <c r="M151" s="27"/>
      <c r="N151" s="27"/>
      <c r="O151" s="27"/>
    </row>
    <row r="152" spans="1:15" ht="12.75" x14ac:dyDescent="0.2">
      <c r="A152" s="1"/>
      <c r="K152" s="27"/>
      <c r="M152" s="27"/>
      <c r="N152" s="27"/>
      <c r="O152" s="27"/>
    </row>
    <row r="153" spans="1:15" ht="12.75" x14ac:dyDescent="0.2">
      <c r="A153" s="1"/>
      <c r="K153" s="27"/>
      <c r="M153" s="27"/>
      <c r="N153" s="27"/>
      <c r="O153" s="27"/>
    </row>
    <row r="154" spans="1:15" ht="12.75" x14ac:dyDescent="0.2">
      <c r="A154" s="1"/>
      <c r="K154" s="27"/>
      <c r="M154" s="27"/>
      <c r="N154" s="27"/>
      <c r="O154" s="27"/>
    </row>
    <row r="155" spans="1:15" ht="12.75" x14ac:dyDescent="0.2">
      <c r="A155" s="1"/>
      <c r="K155" s="27"/>
      <c r="M155" s="27"/>
      <c r="N155" s="27"/>
      <c r="O155" s="27"/>
    </row>
    <row r="156" spans="1:15" ht="12.75" x14ac:dyDescent="0.2">
      <c r="A156" s="1"/>
      <c r="K156" s="27"/>
      <c r="M156" s="27"/>
      <c r="N156" s="27"/>
      <c r="O156" s="27"/>
    </row>
    <row r="157" spans="1:15" ht="12.75" x14ac:dyDescent="0.2">
      <c r="A157" s="1"/>
      <c r="K157" s="27"/>
      <c r="M157" s="27"/>
      <c r="N157" s="27"/>
      <c r="O157" s="27"/>
    </row>
    <row r="158" spans="1:15" ht="12.75" x14ac:dyDescent="0.2">
      <c r="A158" s="1"/>
      <c r="K158" s="27"/>
      <c r="M158" s="27"/>
      <c r="N158" s="27"/>
      <c r="O158" s="27"/>
    </row>
    <row r="159" spans="1:15" ht="12.75" x14ac:dyDescent="0.2">
      <c r="A159" s="1"/>
      <c r="K159" s="27"/>
      <c r="M159" s="27"/>
      <c r="N159" s="27"/>
      <c r="O159" s="27"/>
    </row>
    <row r="160" spans="1:15" ht="12.75" x14ac:dyDescent="0.2">
      <c r="A160" s="1"/>
      <c r="K160" s="27"/>
      <c r="M160" s="27"/>
      <c r="N160" s="27"/>
      <c r="O160" s="27"/>
    </row>
    <row r="161" spans="1:15" ht="12.75" x14ac:dyDescent="0.2">
      <c r="A161" s="1"/>
      <c r="K161" s="27"/>
      <c r="M161" s="27"/>
      <c r="N161" s="27"/>
      <c r="O161" s="27"/>
    </row>
    <row r="162" spans="1:15" ht="12.75" x14ac:dyDescent="0.2">
      <c r="A162" s="1"/>
      <c r="K162" s="27"/>
      <c r="M162" s="27"/>
      <c r="N162" s="27"/>
      <c r="O162" s="27"/>
    </row>
    <row r="163" spans="1:15" ht="12.75" x14ac:dyDescent="0.2">
      <c r="A163" s="1"/>
      <c r="K163" s="27"/>
      <c r="M163" s="27"/>
      <c r="N163" s="27"/>
      <c r="O163" s="27"/>
    </row>
    <row r="164" spans="1:15" ht="12.75" x14ac:dyDescent="0.2">
      <c r="A164" s="1"/>
      <c r="K164" s="27"/>
      <c r="M164" s="27"/>
      <c r="N164" s="27"/>
      <c r="O164" s="27"/>
    </row>
    <row r="165" spans="1:15" ht="12.75" x14ac:dyDescent="0.2">
      <c r="A165" s="1"/>
      <c r="K165" s="27"/>
      <c r="M165" s="27"/>
      <c r="N165" s="27"/>
      <c r="O165" s="27"/>
    </row>
    <row r="166" spans="1:15" ht="12.75" x14ac:dyDescent="0.2">
      <c r="A166" s="1"/>
      <c r="K166" s="27"/>
      <c r="M166" s="27"/>
      <c r="N166" s="27"/>
      <c r="O166" s="27"/>
    </row>
    <row r="167" spans="1:15" ht="12.75" x14ac:dyDescent="0.2">
      <c r="A167" s="1"/>
      <c r="K167" s="27"/>
      <c r="M167" s="27"/>
      <c r="N167" s="27"/>
      <c r="O167" s="27"/>
    </row>
    <row r="168" spans="1:15" ht="12.75" x14ac:dyDescent="0.2">
      <c r="A168" s="1"/>
      <c r="K168" s="27"/>
      <c r="M168" s="27"/>
      <c r="N168" s="27"/>
      <c r="O168" s="27"/>
    </row>
    <row r="169" spans="1:15" ht="12.75" x14ac:dyDescent="0.2">
      <c r="A169" s="1"/>
      <c r="K169" s="27"/>
      <c r="M169" s="27"/>
      <c r="N169" s="27"/>
      <c r="O169" s="27"/>
    </row>
    <row r="170" spans="1:15" ht="12.75" x14ac:dyDescent="0.2">
      <c r="A170" s="1"/>
      <c r="K170" s="27"/>
      <c r="M170" s="27"/>
      <c r="N170" s="27"/>
      <c r="O170" s="27"/>
    </row>
    <row r="171" spans="1:15" ht="12.75" x14ac:dyDescent="0.2">
      <c r="A171" s="1"/>
      <c r="K171" s="27"/>
      <c r="M171" s="27"/>
      <c r="N171" s="27"/>
      <c r="O171" s="27"/>
    </row>
    <row r="172" spans="1:15" ht="12.75" x14ac:dyDescent="0.2">
      <c r="A172" s="1"/>
      <c r="K172" s="27"/>
      <c r="M172" s="27"/>
      <c r="N172" s="27"/>
      <c r="O172" s="27"/>
    </row>
    <row r="173" spans="1:15" ht="12.75" x14ac:dyDescent="0.2">
      <c r="A173" s="1"/>
      <c r="K173" s="27"/>
      <c r="M173" s="27"/>
      <c r="N173" s="27"/>
      <c r="O173" s="27"/>
    </row>
    <row r="174" spans="1:15" ht="12.75" x14ac:dyDescent="0.2">
      <c r="A174" s="1"/>
      <c r="K174" s="27"/>
      <c r="M174" s="27"/>
      <c r="N174" s="27"/>
      <c r="O174" s="27"/>
    </row>
    <row r="175" spans="1:15" ht="12.75" x14ac:dyDescent="0.2">
      <c r="A175" s="1"/>
      <c r="K175" s="27"/>
      <c r="M175" s="27"/>
      <c r="N175" s="27"/>
      <c r="O175" s="27"/>
    </row>
    <row r="176" spans="1:15" ht="12.75" x14ac:dyDescent="0.2">
      <c r="A176" s="1"/>
      <c r="K176" s="27"/>
      <c r="M176" s="27"/>
      <c r="N176" s="27"/>
      <c r="O176" s="27"/>
    </row>
    <row r="177" spans="1:15" ht="12.75" x14ac:dyDescent="0.2">
      <c r="A177" s="1"/>
      <c r="K177" s="27"/>
      <c r="M177" s="27"/>
      <c r="N177" s="27"/>
      <c r="O177" s="27"/>
    </row>
    <row r="178" spans="1:15" ht="12.75" x14ac:dyDescent="0.2">
      <c r="A178" s="1"/>
      <c r="K178" s="27"/>
      <c r="M178" s="27"/>
      <c r="N178" s="27"/>
      <c r="O178" s="27"/>
    </row>
    <row r="179" spans="1:15" ht="12.75" x14ac:dyDescent="0.2">
      <c r="A179" s="1"/>
      <c r="K179" s="27"/>
      <c r="M179" s="27"/>
      <c r="N179" s="27"/>
      <c r="O179" s="27"/>
    </row>
    <row r="180" spans="1:15" ht="12.75" x14ac:dyDescent="0.2">
      <c r="A180" s="1"/>
      <c r="K180" s="27"/>
      <c r="M180" s="27"/>
      <c r="N180" s="27"/>
      <c r="O180" s="27"/>
    </row>
    <row r="181" spans="1:15" ht="12.75" x14ac:dyDescent="0.2">
      <c r="A181" s="1"/>
      <c r="K181" s="27"/>
      <c r="M181" s="27"/>
      <c r="N181" s="27"/>
      <c r="O181" s="27"/>
    </row>
    <row r="182" spans="1:15" ht="12.75" x14ac:dyDescent="0.2">
      <c r="A182" s="1"/>
      <c r="K182" s="27"/>
      <c r="M182" s="27"/>
      <c r="N182" s="27"/>
      <c r="O182" s="27"/>
    </row>
    <row r="183" spans="1:15" ht="12.75" x14ac:dyDescent="0.2">
      <c r="A183" s="1"/>
      <c r="K183" s="27"/>
      <c r="M183" s="27"/>
      <c r="N183" s="27"/>
      <c r="O183" s="27"/>
    </row>
    <row r="184" spans="1:15" ht="12.75" x14ac:dyDescent="0.2">
      <c r="A184" s="1"/>
      <c r="K184" s="27"/>
      <c r="M184" s="27"/>
      <c r="N184" s="27"/>
      <c r="O184" s="27"/>
    </row>
    <row r="185" spans="1:15" ht="12.75" x14ac:dyDescent="0.2">
      <c r="A185" s="1"/>
      <c r="K185" s="27"/>
      <c r="M185" s="27"/>
      <c r="N185" s="27"/>
      <c r="O185" s="27"/>
    </row>
    <row r="186" spans="1:15" ht="12.75" x14ac:dyDescent="0.2">
      <c r="A186" s="1"/>
      <c r="K186" s="27"/>
      <c r="M186" s="27"/>
      <c r="N186" s="27"/>
      <c r="O186" s="27"/>
    </row>
    <row r="187" spans="1:15" ht="12.75" x14ac:dyDescent="0.2">
      <c r="A187" s="1"/>
      <c r="K187" s="27"/>
      <c r="M187" s="27"/>
      <c r="N187" s="27"/>
      <c r="O187" s="27"/>
    </row>
    <row r="188" spans="1:15" ht="12.75" x14ac:dyDescent="0.2">
      <c r="A188" s="1"/>
      <c r="K188" s="27"/>
      <c r="M188" s="27"/>
      <c r="N188" s="27"/>
      <c r="O188" s="27"/>
    </row>
    <row r="189" spans="1:15" ht="12.75" x14ac:dyDescent="0.2">
      <c r="A189" s="1"/>
      <c r="K189" s="27"/>
      <c r="M189" s="27"/>
      <c r="N189" s="27"/>
      <c r="O189" s="27"/>
    </row>
    <row r="190" spans="1:15" ht="12.75" x14ac:dyDescent="0.2">
      <c r="A190" s="1"/>
      <c r="K190" s="27"/>
      <c r="M190" s="27"/>
      <c r="N190" s="27"/>
      <c r="O190" s="27"/>
    </row>
    <row r="191" spans="1:15" ht="12.75" x14ac:dyDescent="0.2">
      <c r="A191" s="1"/>
      <c r="K191" s="27"/>
      <c r="M191" s="27"/>
      <c r="N191" s="27"/>
      <c r="O191" s="27"/>
    </row>
    <row r="192" spans="1:15" ht="12.75" x14ac:dyDescent="0.2">
      <c r="A192" s="1"/>
      <c r="K192" s="27"/>
      <c r="M192" s="27"/>
      <c r="N192" s="27"/>
      <c r="O192" s="27"/>
    </row>
    <row r="193" spans="1:15" ht="12.75" x14ac:dyDescent="0.2">
      <c r="A193" s="1"/>
      <c r="K193" s="27"/>
      <c r="M193" s="27"/>
      <c r="N193" s="27"/>
      <c r="O193" s="27"/>
    </row>
    <row r="194" spans="1:15" ht="12.75" x14ac:dyDescent="0.2">
      <c r="A194" s="1"/>
      <c r="K194" s="27"/>
      <c r="M194" s="27"/>
      <c r="N194" s="27"/>
      <c r="O194" s="27"/>
    </row>
    <row r="195" spans="1:15" ht="12.75" x14ac:dyDescent="0.2">
      <c r="A195" s="1"/>
      <c r="K195" s="27"/>
      <c r="M195" s="27"/>
      <c r="N195" s="27"/>
      <c r="O195" s="27"/>
    </row>
    <row r="196" spans="1:15" ht="12.75" x14ac:dyDescent="0.2">
      <c r="A196" s="1"/>
      <c r="K196" s="27"/>
      <c r="M196" s="27"/>
      <c r="N196" s="27"/>
      <c r="O196" s="27"/>
    </row>
    <row r="197" spans="1:15" ht="12.75" x14ac:dyDescent="0.2">
      <c r="A197" s="1"/>
      <c r="K197" s="27"/>
      <c r="M197" s="27"/>
      <c r="N197" s="27"/>
      <c r="O197" s="27"/>
    </row>
    <row r="198" spans="1:15" ht="12.75" x14ac:dyDescent="0.2">
      <c r="A198" s="1"/>
      <c r="K198" s="27"/>
      <c r="M198" s="27"/>
      <c r="N198" s="27"/>
      <c r="O198" s="27"/>
    </row>
    <row r="199" spans="1:15" ht="12.75" x14ac:dyDescent="0.2">
      <c r="A199" s="1"/>
      <c r="K199" s="27"/>
      <c r="M199" s="27"/>
      <c r="N199" s="27"/>
      <c r="O199" s="27"/>
    </row>
    <row r="200" spans="1:15" ht="12.75" x14ac:dyDescent="0.2">
      <c r="A200" s="1"/>
      <c r="K200" s="27"/>
      <c r="M200" s="27"/>
      <c r="N200" s="27"/>
      <c r="O200" s="27"/>
    </row>
    <row r="201" spans="1:15" ht="12.75" x14ac:dyDescent="0.2">
      <c r="A201" s="1"/>
      <c r="K201" s="27"/>
      <c r="M201" s="27"/>
      <c r="N201" s="27"/>
      <c r="O201" s="27"/>
    </row>
    <row r="202" spans="1:15" ht="12.75" x14ac:dyDescent="0.2">
      <c r="A202" s="1"/>
      <c r="K202" s="27"/>
      <c r="M202" s="27"/>
      <c r="N202" s="27"/>
      <c r="O202" s="27"/>
    </row>
    <row r="203" spans="1:15" ht="12.75" x14ac:dyDescent="0.2">
      <c r="A203" s="1"/>
      <c r="K203" s="27"/>
      <c r="M203" s="27"/>
      <c r="N203" s="27"/>
      <c r="O203" s="27"/>
    </row>
    <row r="204" spans="1:15" ht="12.75" x14ac:dyDescent="0.2">
      <c r="A204" s="1"/>
      <c r="K204" s="27"/>
      <c r="M204" s="27"/>
      <c r="N204" s="27"/>
      <c r="O204" s="27"/>
    </row>
    <row r="205" spans="1:15" ht="12.75" x14ac:dyDescent="0.2">
      <c r="A205" s="1"/>
      <c r="K205" s="27"/>
      <c r="M205" s="27"/>
      <c r="N205" s="27"/>
      <c r="O205" s="27"/>
    </row>
    <row r="206" spans="1:15" ht="12.75" x14ac:dyDescent="0.2">
      <c r="A206" s="1"/>
      <c r="K206" s="27"/>
      <c r="M206" s="27"/>
      <c r="N206" s="27"/>
      <c r="O206" s="27"/>
    </row>
    <row r="207" spans="1:15" ht="12.75" x14ac:dyDescent="0.2">
      <c r="A207" s="1"/>
      <c r="K207" s="27"/>
      <c r="M207" s="27"/>
      <c r="N207" s="27"/>
      <c r="O207" s="27"/>
    </row>
    <row r="208" spans="1:15" ht="12.75" x14ac:dyDescent="0.2">
      <c r="A208" s="1"/>
      <c r="K208" s="27"/>
      <c r="M208" s="27"/>
      <c r="N208" s="27"/>
      <c r="O208" s="27"/>
    </row>
    <row r="209" spans="1:15" ht="12.75" x14ac:dyDescent="0.2">
      <c r="A209" s="1"/>
      <c r="K209" s="27"/>
      <c r="M209" s="27"/>
      <c r="N209" s="27"/>
      <c r="O209" s="27"/>
    </row>
    <row r="210" spans="1:15" ht="12.75" x14ac:dyDescent="0.2">
      <c r="A210" s="1"/>
      <c r="K210" s="27"/>
      <c r="M210" s="27"/>
      <c r="N210" s="27"/>
      <c r="O210" s="27"/>
    </row>
    <row r="211" spans="1:15" ht="12.75" x14ac:dyDescent="0.2">
      <c r="A211" s="1"/>
      <c r="K211" s="27"/>
      <c r="M211" s="27"/>
      <c r="N211" s="27"/>
      <c r="O211" s="27"/>
    </row>
    <row r="212" spans="1:15" ht="12.75" x14ac:dyDescent="0.2">
      <c r="A212" s="1"/>
      <c r="K212" s="27"/>
      <c r="M212" s="27"/>
      <c r="N212" s="27"/>
      <c r="O212" s="27"/>
    </row>
    <row r="213" spans="1:15" ht="12.75" x14ac:dyDescent="0.2">
      <c r="A213" s="1"/>
      <c r="K213" s="27"/>
      <c r="M213" s="27"/>
      <c r="N213" s="27"/>
      <c r="O213" s="27"/>
    </row>
    <row r="214" spans="1:15" ht="12.75" x14ac:dyDescent="0.2">
      <c r="A214" s="1"/>
      <c r="K214" s="27"/>
      <c r="M214" s="27"/>
      <c r="N214" s="27"/>
      <c r="O214" s="27"/>
    </row>
    <row r="215" spans="1:15" ht="12.75" x14ac:dyDescent="0.2">
      <c r="A215" s="1"/>
      <c r="K215" s="27"/>
      <c r="M215" s="27"/>
      <c r="N215" s="27"/>
      <c r="O215" s="27"/>
    </row>
    <row r="216" spans="1:15" ht="12.75" x14ac:dyDescent="0.2">
      <c r="A216" s="1"/>
      <c r="K216" s="27"/>
      <c r="M216" s="27"/>
      <c r="N216" s="27"/>
      <c r="O216" s="27"/>
    </row>
    <row r="217" spans="1:15" ht="12.75" x14ac:dyDescent="0.2">
      <c r="A217" s="1"/>
      <c r="K217" s="27"/>
      <c r="M217" s="27"/>
      <c r="N217" s="27"/>
      <c r="O217" s="27"/>
    </row>
    <row r="218" spans="1:15" ht="12.75" x14ac:dyDescent="0.2">
      <c r="A218" s="1"/>
      <c r="K218" s="27"/>
      <c r="M218" s="27"/>
      <c r="N218" s="27"/>
      <c r="O218" s="27"/>
    </row>
    <row r="219" spans="1:15" ht="12.75" x14ac:dyDescent="0.2">
      <c r="A219" s="1"/>
      <c r="K219" s="27"/>
      <c r="M219" s="27"/>
      <c r="N219" s="27"/>
      <c r="O219" s="27"/>
    </row>
    <row r="220" spans="1:15" ht="12.75" x14ac:dyDescent="0.2">
      <c r="A220" s="1"/>
      <c r="K220" s="27"/>
      <c r="M220" s="27"/>
      <c r="N220" s="27"/>
      <c r="O220" s="27"/>
    </row>
    <row r="221" spans="1:15" ht="12.75" x14ac:dyDescent="0.2">
      <c r="A221" s="1"/>
      <c r="K221" s="27"/>
      <c r="M221" s="27"/>
      <c r="N221" s="27"/>
      <c r="O221" s="27"/>
    </row>
    <row r="222" spans="1:15" ht="12.75" x14ac:dyDescent="0.2">
      <c r="A222" s="1"/>
      <c r="K222" s="27"/>
      <c r="M222" s="27"/>
      <c r="N222" s="27"/>
      <c r="O222" s="27"/>
    </row>
    <row r="223" spans="1:15" ht="12.75" x14ac:dyDescent="0.2">
      <c r="A223" s="1"/>
      <c r="K223" s="27"/>
      <c r="M223" s="27"/>
      <c r="N223" s="27"/>
      <c r="O223" s="27"/>
    </row>
    <row r="224" spans="1:15" ht="12.75" x14ac:dyDescent="0.2">
      <c r="A224" s="1"/>
      <c r="K224" s="27"/>
      <c r="M224" s="27"/>
      <c r="N224" s="27"/>
      <c r="O224" s="27"/>
    </row>
    <row r="225" spans="1:15" ht="12.75" x14ac:dyDescent="0.2">
      <c r="A225" s="1"/>
      <c r="K225" s="27"/>
      <c r="M225" s="27"/>
      <c r="N225" s="27"/>
      <c r="O225" s="27"/>
    </row>
    <row r="226" spans="1:15" ht="12.75" x14ac:dyDescent="0.2">
      <c r="A226" s="1"/>
      <c r="K226" s="27"/>
      <c r="M226" s="27"/>
      <c r="N226" s="27"/>
      <c r="O226" s="27"/>
    </row>
    <row r="227" spans="1:15" ht="12.75" x14ac:dyDescent="0.2">
      <c r="A227" s="1"/>
      <c r="K227" s="27"/>
      <c r="M227" s="27"/>
      <c r="N227" s="27"/>
      <c r="O227" s="27"/>
    </row>
    <row r="228" spans="1:15" ht="12.75" x14ac:dyDescent="0.2">
      <c r="A228" s="1"/>
      <c r="K228" s="27"/>
      <c r="M228" s="27"/>
      <c r="N228" s="27"/>
      <c r="O228" s="27"/>
    </row>
    <row r="229" spans="1:15" ht="12.75" x14ac:dyDescent="0.2">
      <c r="A229" s="1"/>
      <c r="K229" s="27"/>
      <c r="M229" s="27"/>
      <c r="N229" s="27"/>
      <c r="O229" s="27"/>
    </row>
    <row r="230" spans="1:15" ht="12.75" x14ac:dyDescent="0.2">
      <c r="A230" s="1"/>
      <c r="K230" s="27"/>
      <c r="M230" s="27"/>
      <c r="N230" s="27"/>
      <c r="O230" s="27"/>
    </row>
    <row r="231" spans="1:15" ht="12.75" x14ac:dyDescent="0.2">
      <c r="A231" s="1"/>
      <c r="K231" s="27"/>
      <c r="M231" s="27"/>
      <c r="N231" s="27"/>
      <c r="O231" s="27"/>
    </row>
    <row r="232" spans="1:15" ht="12.75" x14ac:dyDescent="0.2">
      <c r="A232" s="1"/>
      <c r="K232" s="27"/>
      <c r="M232" s="27"/>
      <c r="N232" s="27"/>
      <c r="O232" s="27"/>
    </row>
    <row r="233" spans="1:15" ht="12.75" x14ac:dyDescent="0.2">
      <c r="A233" s="1"/>
      <c r="K233" s="27"/>
      <c r="M233" s="27"/>
      <c r="N233" s="27"/>
      <c r="O233" s="27"/>
    </row>
    <row r="234" spans="1:15" ht="12.75" x14ac:dyDescent="0.2">
      <c r="A234" s="1"/>
      <c r="K234" s="27"/>
      <c r="M234" s="27"/>
      <c r="N234" s="27"/>
      <c r="O234" s="27"/>
    </row>
    <row r="235" spans="1:15" ht="12.75" x14ac:dyDescent="0.2">
      <c r="A235" s="1"/>
      <c r="K235" s="27"/>
      <c r="M235" s="27"/>
      <c r="N235" s="27"/>
      <c r="O235" s="27"/>
    </row>
    <row r="236" spans="1:15" ht="12.75" x14ac:dyDescent="0.2">
      <c r="A236" s="1"/>
      <c r="K236" s="27"/>
      <c r="M236" s="27"/>
      <c r="N236" s="27"/>
      <c r="O236" s="27"/>
    </row>
    <row r="237" spans="1:15" ht="12.75" x14ac:dyDescent="0.2">
      <c r="A237" s="1"/>
      <c r="K237" s="27"/>
      <c r="M237" s="27"/>
      <c r="N237" s="27"/>
      <c r="O237" s="27"/>
    </row>
    <row r="238" spans="1:15" ht="12.75" x14ac:dyDescent="0.2">
      <c r="A238" s="1"/>
      <c r="K238" s="27"/>
      <c r="M238" s="27"/>
      <c r="N238" s="27"/>
      <c r="O238" s="27"/>
    </row>
    <row r="239" spans="1:15" ht="12.75" x14ac:dyDescent="0.2">
      <c r="A239" s="1"/>
      <c r="K239" s="27"/>
      <c r="M239" s="27"/>
      <c r="N239" s="27"/>
      <c r="O239" s="27"/>
    </row>
    <row r="240" spans="1:15" ht="12.75" x14ac:dyDescent="0.2">
      <c r="A240" s="1"/>
      <c r="K240" s="27"/>
      <c r="M240" s="27"/>
      <c r="N240" s="27"/>
      <c r="O240" s="27"/>
    </row>
    <row r="241" spans="1:15" ht="12.75" x14ac:dyDescent="0.2">
      <c r="A241" s="1"/>
      <c r="K241" s="27"/>
      <c r="M241" s="27"/>
      <c r="N241" s="27"/>
      <c r="O241" s="27"/>
    </row>
    <row r="242" spans="1:15" ht="12.75" x14ac:dyDescent="0.2">
      <c r="A242" s="1"/>
      <c r="K242" s="27"/>
      <c r="M242" s="27"/>
      <c r="N242" s="27"/>
      <c r="O242" s="27"/>
    </row>
    <row r="243" spans="1:15" ht="12.75" x14ac:dyDescent="0.2">
      <c r="A243" s="1"/>
      <c r="K243" s="27"/>
      <c r="M243" s="27"/>
      <c r="N243" s="27"/>
      <c r="O243" s="27"/>
    </row>
    <row r="244" spans="1:15" ht="12.75" x14ac:dyDescent="0.2">
      <c r="A244" s="1"/>
      <c r="K244" s="27"/>
      <c r="M244" s="27"/>
      <c r="N244" s="27"/>
      <c r="O244" s="27"/>
    </row>
    <row r="245" spans="1:15" ht="12.75" x14ac:dyDescent="0.2">
      <c r="A245" s="1"/>
      <c r="K245" s="27"/>
      <c r="M245" s="27"/>
      <c r="N245" s="27"/>
      <c r="O245" s="27"/>
    </row>
    <row r="246" spans="1:15" ht="12.75" x14ac:dyDescent="0.2">
      <c r="A246" s="1"/>
      <c r="K246" s="27"/>
      <c r="M246" s="27"/>
      <c r="N246" s="27"/>
      <c r="O246" s="27"/>
    </row>
    <row r="247" spans="1:15" ht="12.75" x14ac:dyDescent="0.2">
      <c r="A247" s="1"/>
      <c r="K247" s="27"/>
      <c r="M247" s="27"/>
      <c r="N247" s="27"/>
      <c r="O247" s="27"/>
    </row>
    <row r="248" spans="1:15" ht="12.75" x14ac:dyDescent="0.2">
      <c r="A248" s="1"/>
      <c r="K248" s="27"/>
      <c r="M248" s="27"/>
      <c r="N248" s="27"/>
      <c r="O248" s="27"/>
    </row>
    <row r="249" spans="1:15" ht="12.75" x14ac:dyDescent="0.2">
      <c r="A249" s="1"/>
      <c r="K249" s="27"/>
      <c r="M249" s="27"/>
      <c r="N249" s="27"/>
      <c r="O249" s="27"/>
    </row>
    <row r="250" spans="1:15" ht="12.75" x14ac:dyDescent="0.2">
      <c r="A250" s="1"/>
      <c r="K250" s="27"/>
      <c r="M250" s="27"/>
      <c r="N250" s="27"/>
      <c r="O250" s="27"/>
    </row>
    <row r="251" spans="1:15" ht="12.75" x14ac:dyDescent="0.2">
      <c r="A251" s="1"/>
      <c r="K251" s="27"/>
      <c r="M251" s="27"/>
      <c r="N251" s="27"/>
      <c r="O251" s="27"/>
    </row>
    <row r="252" spans="1:15" ht="12.75" x14ac:dyDescent="0.2">
      <c r="A252" s="1"/>
      <c r="K252" s="27"/>
      <c r="M252" s="27"/>
      <c r="N252" s="27"/>
      <c r="O252" s="27"/>
    </row>
    <row r="253" spans="1:15" ht="12.75" x14ac:dyDescent="0.2">
      <c r="A253" s="1"/>
      <c r="K253" s="27"/>
      <c r="M253" s="27"/>
      <c r="N253" s="27"/>
      <c r="O253" s="27"/>
    </row>
    <row r="254" spans="1:15" ht="12.75" x14ac:dyDescent="0.2">
      <c r="A254" s="1"/>
      <c r="K254" s="27"/>
      <c r="M254" s="27"/>
      <c r="N254" s="27"/>
      <c r="O254" s="27"/>
    </row>
    <row r="255" spans="1:15" ht="12.75" x14ac:dyDescent="0.2">
      <c r="A255" s="1"/>
      <c r="K255" s="27"/>
      <c r="M255" s="27"/>
      <c r="N255" s="27"/>
      <c r="O255" s="27"/>
    </row>
    <row r="256" spans="1:15" ht="12.75" x14ac:dyDescent="0.2">
      <c r="A256" s="1"/>
      <c r="K256" s="27"/>
      <c r="M256" s="27"/>
      <c r="N256" s="27"/>
      <c r="O256" s="27"/>
    </row>
    <row r="257" spans="1:15" ht="12.75" x14ac:dyDescent="0.2">
      <c r="A257" s="1"/>
      <c r="K257" s="27"/>
      <c r="M257" s="27"/>
      <c r="N257" s="27"/>
      <c r="O257" s="27"/>
    </row>
    <row r="258" spans="1:15" ht="12.75" x14ac:dyDescent="0.2">
      <c r="A258" s="1"/>
      <c r="K258" s="27"/>
      <c r="M258" s="27"/>
      <c r="N258" s="27"/>
      <c r="O258" s="27"/>
    </row>
    <row r="259" spans="1:15" ht="12.75" x14ac:dyDescent="0.2">
      <c r="A259" s="1"/>
      <c r="K259" s="27"/>
      <c r="M259" s="27"/>
      <c r="N259" s="27"/>
      <c r="O259" s="27"/>
    </row>
    <row r="260" spans="1:15" ht="12.75" x14ac:dyDescent="0.2">
      <c r="A260" s="1"/>
      <c r="K260" s="27"/>
      <c r="M260" s="27"/>
      <c r="N260" s="27"/>
      <c r="O260" s="27"/>
    </row>
    <row r="261" spans="1:15" ht="12.75" x14ac:dyDescent="0.2">
      <c r="A261" s="1"/>
      <c r="K261" s="27"/>
      <c r="M261" s="27"/>
      <c r="N261" s="27"/>
      <c r="O261" s="27"/>
    </row>
    <row r="262" spans="1:15" ht="12.75" x14ac:dyDescent="0.2">
      <c r="A262" s="1"/>
      <c r="K262" s="27"/>
      <c r="M262" s="27"/>
      <c r="N262" s="27"/>
      <c r="O262" s="27"/>
    </row>
    <row r="263" spans="1:15" ht="12.75" x14ac:dyDescent="0.2">
      <c r="A263" s="1"/>
      <c r="K263" s="27"/>
      <c r="M263" s="27"/>
      <c r="N263" s="27"/>
      <c r="O263" s="27"/>
    </row>
    <row r="264" spans="1:15" ht="12.75" x14ac:dyDescent="0.2">
      <c r="A264" s="1"/>
      <c r="K264" s="27"/>
      <c r="M264" s="27"/>
      <c r="N264" s="27"/>
      <c r="O264" s="27"/>
    </row>
    <row r="265" spans="1:15" ht="12.75" x14ac:dyDescent="0.2">
      <c r="A265" s="1"/>
      <c r="K265" s="27"/>
      <c r="M265" s="27"/>
      <c r="N265" s="27"/>
      <c r="O265" s="27"/>
    </row>
    <row r="266" spans="1:15" ht="12.75" x14ac:dyDescent="0.2">
      <c r="A266" s="1"/>
      <c r="K266" s="27"/>
      <c r="M266" s="27"/>
      <c r="N266" s="27"/>
      <c r="O266" s="27"/>
    </row>
    <row r="267" spans="1:15" ht="12.75" x14ac:dyDescent="0.2">
      <c r="A267" s="1"/>
      <c r="K267" s="27"/>
      <c r="M267" s="27"/>
      <c r="N267" s="27"/>
      <c r="O267" s="27"/>
    </row>
    <row r="268" spans="1:15" ht="12.75" x14ac:dyDescent="0.2">
      <c r="A268" s="1"/>
      <c r="K268" s="27"/>
      <c r="M268" s="27"/>
      <c r="N268" s="27"/>
      <c r="O268" s="27"/>
    </row>
    <row r="269" spans="1:15" ht="12.75" x14ac:dyDescent="0.2">
      <c r="A269" s="1"/>
      <c r="K269" s="27"/>
      <c r="M269" s="27"/>
      <c r="N269" s="27"/>
      <c r="O269" s="27"/>
    </row>
    <row r="270" spans="1:15" ht="12.75" x14ac:dyDescent="0.2">
      <c r="A270" s="1"/>
      <c r="K270" s="27"/>
      <c r="M270" s="27"/>
      <c r="N270" s="27"/>
      <c r="O270" s="27"/>
    </row>
    <row r="271" spans="1:15" ht="12.75" x14ac:dyDescent="0.2">
      <c r="A271" s="1"/>
      <c r="K271" s="27"/>
      <c r="M271" s="27"/>
      <c r="N271" s="27"/>
      <c r="O271" s="27"/>
    </row>
    <row r="272" spans="1:15" ht="12.75" x14ac:dyDescent="0.2">
      <c r="A272" s="1"/>
      <c r="K272" s="27"/>
      <c r="M272" s="27"/>
      <c r="N272" s="27"/>
      <c r="O272" s="27"/>
    </row>
    <row r="273" spans="1:15" ht="12.75" x14ac:dyDescent="0.2">
      <c r="A273" s="1"/>
      <c r="K273" s="27"/>
      <c r="M273" s="27"/>
      <c r="N273" s="27"/>
      <c r="O273" s="27"/>
    </row>
    <row r="274" spans="1:15" ht="12.75" x14ac:dyDescent="0.2">
      <c r="A274" s="1"/>
      <c r="K274" s="27"/>
      <c r="M274" s="27"/>
      <c r="N274" s="27"/>
      <c r="O274" s="27"/>
    </row>
    <row r="275" spans="1:15" ht="12.75" x14ac:dyDescent="0.2">
      <c r="A275" s="1"/>
      <c r="K275" s="27"/>
      <c r="M275" s="27"/>
      <c r="N275" s="27"/>
      <c r="O275" s="27"/>
    </row>
    <row r="276" spans="1:15" ht="12.75" x14ac:dyDescent="0.2">
      <c r="A276" s="1"/>
      <c r="K276" s="27"/>
      <c r="M276" s="27"/>
      <c r="N276" s="27"/>
      <c r="O276" s="27"/>
    </row>
    <row r="277" spans="1:15" ht="12.75" x14ac:dyDescent="0.2">
      <c r="A277" s="1"/>
      <c r="K277" s="27"/>
      <c r="M277" s="27"/>
      <c r="N277" s="27"/>
      <c r="O277" s="27"/>
    </row>
    <row r="278" spans="1:15" ht="12.75" x14ac:dyDescent="0.2">
      <c r="A278" s="1"/>
      <c r="K278" s="27"/>
      <c r="M278" s="27"/>
      <c r="N278" s="27"/>
      <c r="O278" s="27"/>
    </row>
    <row r="279" spans="1:15" ht="12.75" x14ac:dyDescent="0.2">
      <c r="A279" s="1"/>
      <c r="K279" s="27"/>
      <c r="M279" s="27"/>
      <c r="N279" s="27"/>
      <c r="O279" s="27"/>
    </row>
    <row r="280" spans="1:15" ht="12.75" x14ac:dyDescent="0.2">
      <c r="A280" s="1"/>
      <c r="K280" s="27"/>
      <c r="M280" s="27"/>
      <c r="N280" s="27"/>
      <c r="O280" s="27"/>
    </row>
    <row r="281" spans="1:15" ht="12.75" x14ac:dyDescent="0.2">
      <c r="A281" s="1"/>
      <c r="K281" s="27"/>
      <c r="M281" s="27"/>
      <c r="N281" s="27"/>
      <c r="O281" s="27"/>
    </row>
    <row r="282" spans="1:15" ht="12.75" x14ac:dyDescent="0.2">
      <c r="A282" s="1"/>
      <c r="K282" s="27"/>
      <c r="M282" s="27"/>
      <c r="N282" s="27"/>
      <c r="O282" s="27"/>
    </row>
    <row r="283" spans="1:15" ht="12.75" x14ac:dyDescent="0.2">
      <c r="A283" s="1"/>
      <c r="K283" s="27"/>
      <c r="M283" s="27"/>
      <c r="N283" s="27"/>
      <c r="O283" s="27"/>
    </row>
    <row r="284" spans="1:15" ht="12.75" x14ac:dyDescent="0.2">
      <c r="A284" s="1"/>
      <c r="K284" s="27"/>
      <c r="M284" s="27"/>
      <c r="N284" s="27"/>
      <c r="O284" s="27"/>
    </row>
    <row r="285" spans="1:15" ht="12.75" x14ac:dyDescent="0.2">
      <c r="A285" s="1"/>
      <c r="K285" s="27"/>
      <c r="M285" s="27"/>
      <c r="N285" s="27"/>
      <c r="O285" s="27"/>
    </row>
    <row r="286" spans="1:15" ht="12.75" x14ac:dyDescent="0.2">
      <c r="A286" s="1"/>
      <c r="K286" s="27"/>
      <c r="M286" s="27"/>
      <c r="N286" s="27"/>
      <c r="O286" s="27"/>
    </row>
    <row r="287" spans="1:15" ht="12.75" x14ac:dyDescent="0.2">
      <c r="A287" s="1"/>
      <c r="K287" s="27"/>
      <c r="M287" s="27"/>
      <c r="N287" s="27"/>
      <c r="O287" s="27"/>
    </row>
    <row r="288" spans="1:15" ht="12.75" x14ac:dyDescent="0.2">
      <c r="A288" s="1"/>
      <c r="K288" s="27"/>
      <c r="M288" s="27"/>
      <c r="N288" s="27"/>
      <c r="O288" s="27"/>
    </row>
    <row r="289" spans="1:15" ht="12.75" x14ac:dyDescent="0.2">
      <c r="A289" s="1"/>
      <c r="K289" s="27"/>
      <c r="M289" s="27"/>
      <c r="N289" s="27"/>
      <c r="O289" s="27"/>
    </row>
    <row r="290" spans="1:15" ht="12.75" x14ac:dyDescent="0.2">
      <c r="A290" s="1"/>
      <c r="K290" s="27"/>
      <c r="M290" s="27"/>
      <c r="N290" s="27"/>
      <c r="O290" s="27"/>
    </row>
    <row r="291" spans="1:15" ht="12.75" x14ac:dyDescent="0.2">
      <c r="A291" s="1"/>
      <c r="K291" s="27"/>
      <c r="M291" s="27"/>
      <c r="N291" s="27"/>
      <c r="O291" s="27"/>
    </row>
    <row r="292" spans="1:15" ht="12.75" x14ac:dyDescent="0.2">
      <c r="A292" s="1"/>
      <c r="K292" s="27"/>
      <c r="M292" s="27"/>
      <c r="N292" s="27"/>
      <c r="O292" s="27"/>
    </row>
    <row r="293" spans="1:15" ht="12.75" x14ac:dyDescent="0.2">
      <c r="A293" s="1"/>
      <c r="K293" s="27"/>
      <c r="M293" s="27"/>
      <c r="N293" s="27"/>
      <c r="O293" s="27"/>
    </row>
    <row r="294" spans="1:15" ht="12.75" x14ac:dyDescent="0.2">
      <c r="A294" s="1"/>
      <c r="K294" s="27"/>
      <c r="M294" s="27"/>
      <c r="N294" s="27"/>
      <c r="O294" s="27"/>
    </row>
    <row r="295" spans="1:15" ht="12.75" x14ac:dyDescent="0.2">
      <c r="A295" s="1"/>
      <c r="K295" s="27"/>
      <c r="M295" s="27"/>
      <c r="N295" s="27"/>
      <c r="O295" s="27"/>
    </row>
    <row r="296" spans="1:15" ht="12.75" x14ac:dyDescent="0.2">
      <c r="A296" s="1"/>
      <c r="K296" s="27"/>
      <c r="M296" s="27"/>
      <c r="N296" s="27"/>
      <c r="O296" s="27"/>
    </row>
    <row r="297" spans="1:15" ht="12.75" x14ac:dyDescent="0.2">
      <c r="A297" s="1"/>
      <c r="K297" s="27"/>
      <c r="M297" s="27"/>
      <c r="N297" s="27"/>
      <c r="O297" s="27"/>
    </row>
    <row r="298" spans="1:15" ht="12.75" x14ac:dyDescent="0.2">
      <c r="A298" s="1"/>
      <c r="K298" s="27"/>
      <c r="M298" s="27"/>
      <c r="N298" s="27"/>
      <c r="O298" s="27"/>
    </row>
    <row r="299" spans="1:15" ht="12.75" x14ac:dyDescent="0.2">
      <c r="A299" s="1"/>
      <c r="K299" s="27"/>
      <c r="M299" s="27"/>
      <c r="N299" s="27"/>
      <c r="O299" s="27"/>
    </row>
    <row r="300" spans="1:15" ht="12.75" x14ac:dyDescent="0.2">
      <c r="A300" s="1"/>
      <c r="K300" s="27"/>
      <c r="M300" s="27"/>
      <c r="N300" s="27"/>
      <c r="O300" s="27"/>
    </row>
    <row r="301" spans="1:15" ht="12.75" x14ac:dyDescent="0.2">
      <c r="A301" s="1"/>
      <c r="K301" s="27"/>
      <c r="M301" s="27"/>
      <c r="N301" s="27"/>
      <c r="O301" s="27"/>
    </row>
    <row r="302" spans="1:15" ht="12.75" x14ac:dyDescent="0.2">
      <c r="A302" s="1"/>
      <c r="K302" s="27"/>
      <c r="M302" s="27"/>
      <c r="N302" s="27"/>
      <c r="O302" s="27"/>
    </row>
    <row r="303" spans="1:15" ht="12.75" x14ac:dyDescent="0.2">
      <c r="A303" s="1"/>
      <c r="K303" s="27"/>
      <c r="M303" s="27"/>
      <c r="N303" s="27"/>
      <c r="O303" s="27"/>
    </row>
    <row r="304" spans="1:15" ht="12.75" x14ac:dyDescent="0.2">
      <c r="A304" s="1"/>
      <c r="K304" s="27"/>
      <c r="M304" s="27"/>
      <c r="N304" s="27"/>
      <c r="O304" s="27"/>
    </row>
    <row r="305" spans="1:15" ht="12.75" x14ac:dyDescent="0.2">
      <c r="A305" s="1"/>
      <c r="K305" s="27"/>
      <c r="M305" s="27"/>
      <c r="N305" s="27"/>
      <c r="O305" s="27"/>
    </row>
    <row r="306" spans="1:15" ht="12.75" x14ac:dyDescent="0.2">
      <c r="A306" s="1"/>
      <c r="K306" s="27"/>
      <c r="M306" s="27"/>
      <c r="N306" s="27"/>
      <c r="O306" s="27"/>
    </row>
    <row r="307" spans="1:15" ht="12.75" x14ac:dyDescent="0.2">
      <c r="A307" s="1"/>
      <c r="K307" s="27"/>
      <c r="M307" s="27"/>
      <c r="N307" s="27"/>
      <c r="O307" s="27"/>
    </row>
    <row r="308" spans="1:15" ht="12.75" x14ac:dyDescent="0.2">
      <c r="A308" s="1"/>
      <c r="K308" s="27"/>
      <c r="M308" s="27"/>
      <c r="N308" s="27"/>
      <c r="O308" s="27"/>
    </row>
    <row r="309" spans="1:15" ht="12.75" x14ac:dyDescent="0.2">
      <c r="A309" s="1"/>
      <c r="K309" s="27"/>
      <c r="M309" s="27"/>
      <c r="N309" s="27"/>
      <c r="O309" s="27"/>
    </row>
    <row r="310" spans="1:15" ht="12.75" x14ac:dyDescent="0.2">
      <c r="A310" s="1"/>
      <c r="K310" s="27"/>
      <c r="M310" s="27"/>
      <c r="N310" s="27"/>
      <c r="O310" s="27"/>
    </row>
    <row r="311" spans="1:15" ht="12.75" x14ac:dyDescent="0.2">
      <c r="A311" s="1"/>
      <c r="K311" s="27"/>
      <c r="M311" s="27"/>
      <c r="N311" s="27"/>
      <c r="O311" s="27"/>
    </row>
    <row r="312" spans="1:15" ht="12.75" x14ac:dyDescent="0.2">
      <c r="A312" s="1"/>
      <c r="K312" s="27"/>
      <c r="M312" s="27"/>
      <c r="N312" s="27"/>
      <c r="O312" s="27"/>
    </row>
    <row r="313" spans="1:15" ht="12.75" x14ac:dyDescent="0.2">
      <c r="A313" s="1"/>
      <c r="K313" s="27"/>
      <c r="M313" s="27"/>
      <c r="N313" s="27"/>
      <c r="O313" s="27"/>
    </row>
    <row r="314" spans="1:15" ht="12.75" x14ac:dyDescent="0.2">
      <c r="A314" s="1"/>
      <c r="K314" s="27"/>
      <c r="M314" s="27"/>
      <c r="N314" s="27"/>
      <c r="O314" s="27"/>
    </row>
    <row r="315" spans="1:15" ht="12.75" x14ac:dyDescent="0.2">
      <c r="A315" s="1"/>
      <c r="K315" s="27"/>
      <c r="M315" s="27"/>
      <c r="N315" s="27"/>
      <c r="O315" s="27"/>
    </row>
    <row r="316" spans="1:15" ht="12.75" x14ac:dyDescent="0.2">
      <c r="A316" s="1"/>
      <c r="K316" s="27"/>
      <c r="M316" s="27"/>
      <c r="N316" s="27"/>
      <c r="O316" s="27"/>
    </row>
    <row r="317" spans="1:15" ht="12.75" x14ac:dyDescent="0.2">
      <c r="A317" s="1"/>
      <c r="K317" s="27"/>
      <c r="M317" s="27"/>
      <c r="N317" s="27"/>
      <c r="O317" s="27"/>
    </row>
    <row r="318" spans="1:15" ht="12.75" x14ac:dyDescent="0.2">
      <c r="A318" s="1"/>
      <c r="K318" s="27"/>
      <c r="M318" s="27"/>
      <c r="N318" s="27"/>
      <c r="O318" s="27"/>
    </row>
    <row r="319" spans="1:15" ht="12.75" x14ac:dyDescent="0.2">
      <c r="A319" s="1"/>
      <c r="K319" s="27"/>
      <c r="M319" s="27"/>
      <c r="N319" s="27"/>
      <c r="O319" s="27"/>
    </row>
    <row r="320" spans="1:15" ht="12.75" x14ac:dyDescent="0.2">
      <c r="A320" s="1"/>
      <c r="K320" s="27"/>
      <c r="M320" s="27"/>
      <c r="N320" s="27"/>
      <c r="O320" s="27"/>
    </row>
    <row r="321" spans="1:15" ht="12.75" x14ac:dyDescent="0.2">
      <c r="A321" s="1"/>
      <c r="K321" s="27"/>
      <c r="M321" s="27"/>
      <c r="N321" s="27"/>
      <c r="O321" s="27"/>
    </row>
    <row r="322" spans="1:15" ht="12.75" x14ac:dyDescent="0.2">
      <c r="A322" s="1"/>
      <c r="K322" s="27"/>
      <c r="M322" s="27"/>
      <c r="N322" s="27"/>
      <c r="O322" s="27"/>
    </row>
    <row r="323" spans="1:15" ht="12.75" x14ac:dyDescent="0.2">
      <c r="A323" s="1"/>
      <c r="K323" s="27"/>
      <c r="M323" s="27"/>
      <c r="N323" s="27"/>
      <c r="O323" s="27"/>
    </row>
    <row r="324" spans="1:15" ht="12.75" x14ac:dyDescent="0.2">
      <c r="A324" s="1"/>
      <c r="K324" s="27"/>
      <c r="M324" s="27"/>
      <c r="N324" s="27"/>
      <c r="O324" s="27"/>
    </row>
    <row r="325" spans="1:15" ht="12.75" x14ac:dyDescent="0.2">
      <c r="A325" s="1"/>
      <c r="K325" s="27"/>
      <c r="M325" s="27"/>
      <c r="N325" s="27"/>
      <c r="O325" s="27"/>
    </row>
    <row r="326" spans="1:15" ht="12.75" x14ac:dyDescent="0.2">
      <c r="A326" s="1"/>
      <c r="K326" s="27"/>
      <c r="M326" s="27"/>
      <c r="N326" s="27"/>
      <c r="O326" s="27"/>
    </row>
    <row r="327" spans="1:15" ht="12.75" x14ac:dyDescent="0.2">
      <c r="A327" s="1"/>
      <c r="K327" s="27"/>
      <c r="M327" s="27"/>
      <c r="N327" s="27"/>
      <c r="O327" s="27"/>
    </row>
    <row r="328" spans="1:15" ht="12.75" x14ac:dyDescent="0.2">
      <c r="A328" s="1"/>
      <c r="K328" s="27"/>
      <c r="M328" s="27"/>
      <c r="N328" s="27"/>
      <c r="O328" s="27"/>
    </row>
    <row r="329" spans="1:15" ht="12.75" x14ac:dyDescent="0.2">
      <c r="A329" s="1"/>
      <c r="K329" s="27"/>
      <c r="M329" s="27"/>
      <c r="N329" s="27"/>
      <c r="O329" s="27"/>
    </row>
    <row r="330" spans="1:15" ht="12.75" x14ac:dyDescent="0.2">
      <c r="A330" s="1"/>
      <c r="K330" s="27"/>
      <c r="M330" s="27"/>
      <c r="N330" s="27"/>
      <c r="O330" s="27"/>
    </row>
    <row r="331" spans="1:15" ht="12.75" x14ac:dyDescent="0.2">
      <c r="A331" s="1"/>
      <c r="K331" s="27"/>
      <c r="M331" s="27"/>
      <c r="N331" s="27"/>
      <c r="O331" s="27"/>
    </row>
    <row r="332" spans="1:15" ht="12.75" x14ac:dyDescent="0.2">
      <c r="A332" s="1"/>
      <c r="K332" s="27"/>
      <c r="M332" s="27"/>
      <c r="N332" s="27"/>
      <c r="O332" s="27"/>
    </row>
    <row r="333" spans="1:15" ht="12.75" x14ac:dyDescent="0.2">
      <c r="A333" s="1"/>
      <c r="K333" s="27"/>
      <c r="M333" s="27"/>
      <c r="N333" s="27"/>
      <c r="O333" s="27"/>
    </row>
    <row r="334" spans="1:15" ht="12.75" x14ac:dyDescent="0.2">
      <c r="A334" s="1"/>
      <c r="K334" s="27"/>
      <c r="M334" s="27"/>
      <c r="N334" s="27"/>
      <c r="O334" s="27"/>
    </row>
    <row r="335" spans="1:15" ht="12.75" x14ac:dyDescent="0.2">
      <c r="A335" s="1"/>
      <c r="K335" s="27"/>
      <c r="M335" s="27"/>
      <c r="N335" s="27"/>
      <c r="O335" s="27"/>
    </row>
    <row r="336" spans="1:15" ht="12.75" x14ac:dyDescent="0.2">
      <c r="A336" s="1"/>
      <c r="K336" s="27"/>
      <c r="M336" s="27"/>
      <c r="N336" s="27"/>
      <c r="O336" s="27"/>
    </row>
    <row r="337" spans="1:15" ht="12.75" x14ac:dyDescent="0.2">
      <c r="A337" s="1"/>
      <c r="K337" s="27"/>
      <c r="M337" s="27"/>
      <c r="N337" s="27"/>
      <c r="O337" s="27"/>
    </row>
    <row r="338" spans="1:15" ht="12.75" x14ac:dyDescent="0.2">
      <c r="A338" s="1"/>
      <c r="K338" s="27"/>
      <c r="M338" s="27"/>
      <c r="N338" s="27"/>
      <c r="O338" s="27"/>
    </row>
    <row r="339" spans="1:15" ht="12.75" x14ac:dyDescent="0.2">
      <c r="A339" s="1"/>
      <c r="K339" s="27"/>
      <c r="M339" s="27"/>
      <c r="N339" s="27"/>
      <c r="O339" s="27"/>
    </row>
    <row r="340" spans="1:15" ht="12.75" x14ac:dyDescent="0.2">
      <c r="A340" s="1"/>
      <c r="K340" s="27"/>
      <c r="M340" s="27"/>
      <c r="N340" s="27"/>
      <c r="O340" s="27"/>
    </row>
    <row r="341" spans="1:15" ht="12.75" x14ac:dyDescent="0.2">
      <c r="A341" s="1"/>
      <c r="K341" s="27"/>
      <c r="M341" s="27"/>
      <c r="N341" s="27"/>
      <c r="O341" s="27"/>
    </row>
    <row r="342" spans="1:15" ht="12.75" x14ac:dyDescent="0.2">
      <c r="A342" s="1"/>
      <c r="K342" s="27"/>
      <c r="M342" s="27"/>
      <c r="N342" s="27"/>
      <c r="O342" s="27"/>
    </row>
    <row r="343" spans="1:15" ht="12.75" x14ac:dyDescent="0.2">
      <c r="A343" s="1"/>
      <c r="K343" s="27"/>
      <c r="M343" s="27"/>
      <c r="N343" s="27"/>
      <c r="O343" s="27"/>
    </row>
    <row r="344" spans="1:15" ht="12.75" x14ac:dyDescent="0.2">
      <c r="A344" s="1"/>
      <c r="K344" s="27"/>
      <c r="M344" s="27"/>
      <c r="N344" s="27"/>
      <c r="O344" s="27"/>
    </row>
    <row r="345" spans="1:15" ht="12.75" x14ac:dyDescent="0.2">
      <c r="A345" s="1"/>
      <c r="K345" s="27"/>
      <c r="M345" s="27"/>
      <c r="N345" s="27"/>
      <c r="O345" s="27"/>
    </row>
    <row r="346" spans="1:15" ht="12.75" x14ac:dyDescent="0.2">
      <c r="A346" s="1"/>
      <c r="K346" s="27"/>
      <c r="M346" s="27"/>
      <c r="N346" s="27"/>
      <c r="O346" s="27"/>
    </row>
    <row r="347" spans="1:15" ht="12.75" x14ac:dyDescent="0.2">
      <c r="A347" s="1"/>
      <c r="K347" s="27"/>
      <c r="M347" s="27"/>
      <c r="N347" s="27"/>
      <c r="O347" s="27"/>
    </row>
    <row r="348" spans="1:15" ht="12.75" x14ac:dyDescent="0.2">
      <c r="A348" s="1"/>
      <c r="K348" s="27"/>
      <c r="M348" s="27"/>
      <c r="N348" s="27"/>
      <c r="O348" s="27"/>
    </row>
    <row r="349" spans="1:15" ht="12.75" x14ac:dyDescent="0.2">
      <c r="A349" s="1"/>
      <c r="K349" s="27"/>
      <c r="M349" s="27"/>
      <c r="N349" s="27"/>
      <c r="O349" s="27"/>
    </row>
    <row r="350" spans="1:15" ht="12.75" x14ac:dyDescent="0.2">
      <c r="A350" s="1"/>
      <c r="K350" s="27"/>
      <c r="M350" s="27"/>
      <c r="N350" s="27"/>
      <c r="O350" s="27"/>
    </row>
    <row r="351" spans="1:15" ht="12.75" x14ac:dyDescent="0.2">
      <c r="A351" s="1"/>
      <c r="K351" s="27"/>
      <c r="M351" s="27"/>
      <c r="N351" s="27"/>
      <c r="O351" s="27"/>
    </row>
    <row r="352" spans="1:15" ht="12.75" x14ac:dyDescent="0.2">
      <c r="A352" s="1"/>
      <c r="K352" s="27"/>
      <c r="M352" s="27"/>
      <c r="N352" s="27"/>
      <c r="O352" s="27"/>
    </row>
    <row r="353" spans="1:15" ht="12.75" x14ac:dyDescent="0.2">
      <c r="A353" s="1"/>
      <c r="K353" s="27"/>
      <c r="M353" s="27"/>
      <c r="N353" s="27"/>
      <c r="O353" s="27"/>
    </row>
    <row r="354" spans="1:15" ht="12.75" x14ac:dyDescent="0.2">
      <c r="A354" s="1"/>
      <c r="K354" s="27"/>
      <c r="M354" s="27"/>
      <c r="N354" s="27"/>
      <c r="O354" s="27"/>
    </row>
    <row r="355" spans="1:15" ht="12.75" x14ac:dyDescent="0.2">
      <c r="A355" s="1"/>
      <c r="K355" s="27"/>
      <c r="M355" s="27"/>
      <c r="N355" s="27"/>
      <c r="O355" s="27"/>
    </row>
    <row r="356" spans="1:15" ht="12.75" x14ac:dyDescent="0.2">
      <c r="A356" s="1"/>
      <c r="K356" s="27"/>
      <c r="M356" s="27"/>
      <c r="N356" s="27"/>
      <c r="O356" s="27"/>
    </row>
    <row r="357" spans="1:15" ht="12.75" x14ac:dyDescent="0.2">
      <c r="A357" s="1"/>
      <c r="K357" s="27"/>
      <c r="M357" s="27"/>
      <c r="N357" s="27"/>
      <c r="O357" s="27"/>
    </row>
    <row r="358" spans="1:15" ht="12.75" x14ac:dyDescent="0.2">
      <c r="A358" s="1"/>
      <c r="K358" s="27"/>
      <c r="M358" s="27"/>
      <c r="N358" s="27"/>
      <c r="O358" s="27"/>
    </row>
    <row r="359" spans="1:15" ht="12.75" x14ac:dyDescent="0.2">
      <c r="A359" s="1"/>
      <c r="K359" s="27"/>
      <c r="M359" s="27"/>
      <c r="N359" s="27"/>
      <c r="O359" s="27"/>
    </row>
    <row r="360" spans="1:15" ht="12.75" x14ac:dyDescent="0.2">
      <c r="A360" s="1"/>
      <c r="K360" s="27"/>
      <c r="M360" s="27"/>
      <c r="N360" s="27"/>
      <c r="O360" s="27"/>
    </row>
    <row r="361" spans="1:15" ht="12.75" x14ac:dyDescent="0.2">
      <c r="A361" s="1"/>
      <c r="K361" s="27"/>
      <c r="M361" s="27"/>
      <c r="N361" s="27"/>
      <c r="O361" s="27"/>
    </row>
    <row r="362" spans="1:15" ht="12.75" x14ac:dyDescent="0.2">
      <c r="A362" s="1"/>
      <c r="K362" s="27"/>
      <c r="M362" s="27"/>
      <c r="N362" s="27"/>
      <c r="O362" s="27"/>
    </row>
    <row r="363" spans="1:15" ht="12.75" x14ac:dyDescent="0.2">
      <c r="A363" s="1"/>
      <c r="K363" s="27"/>
      <c r="M363" s="27"/>
      <c r="N363" s="27"/>
      <c r="O363" s="27"/>
    </row>
    <row r="364" spans="1:15" ht="12.75" x14ac:dyDescent="0.2">
      <c r="A364" s="1"/>
      <c r="K364" s="27"/>
      <c r="M364" s="27"/>
      <c r="N364" s="27"/>
      <c r="O364" s="27"/>
    </row>
    <row r="365" spans="1:15" ht="12.75" x14ac:dyDescent="0.2">
      <c r="A365" s="1"/>
      <c r="K365" s="27"/>
      <c r="M365" s="27"/>
      <c r="N365" s="27"/>
      <c r="O365" s="27"/>
    </row>
    <row r="366" spans="1:15" ht="12.75" x14ac:dyDescent="0.2">
      <c r="A366" s="1"/>
      <c r="K366" s="27"/>
      <c r="M366" s="27"/>
      <c r="N366" s="27"/>
      <c r="O366" s="27"/>
    </row>
    <row r="367" spans="1:15" ht="12.75" x14ac:dyDescent="0.2">
      <c r="A367" s="1"/>
      <c r="K367" s="27"/>
      <c r="M367" s="27"/>
      <c r="N367" s="27"/>
      <c r="O367" s="27"/>
    </row>
    <row r="368" spans="1:15" ht="12.75" x14ac:dyDescent="0.2">
      <c r="A368" s="1"/>
      <c r="K368" s="27"/>
      <c r="M368" s="27"/>
      <c r="N368" s="27"/>
      <c r="O368" s="27"/>
    </row>
    <row r="369" spans="1:15" ht="12.75" x14ac:dyDescent="0.2">
      <c r="A369" s="1"/>
      <c r="K369" s="27"/>
      <c r="M369" s="27"/>
      <c r="N369" s="27"/>
      <c r="O369" s="27"/>
    </row>
    <row r="370" spans="1:15" ht="12.75" x14ac:dyDescent="0.2">
      <c r="A370" s="1"/>
      <c r="K370" s="27"/>
      <c r="M370" s="27"/>
      <c r="N370" s="27"/>
      <c r="O370" s="27"/>
    </row>
    <row r="371" spans="1:15" ht="12.75" x14ac:dyDescent="0.2">
      <c r="A371" s="1"/>
      <c r="K371" s="27"/>
      <c r="M371" s="27"/>
      <c r="N371" s="27"/>
      <c r="O371" s="27"/>
    </row>
    <row r="372" spans="1:15" ht="12.75" x14ac:dyDescent="0.2">
      <c r="A372" s="1"/>
      <c r="K372" s="27"/>
      <c r="M372" s="27"/>
      <c r="N372" s="27"/>
      <c r="O372" s="27"/>
    </row>
    <row r="373" spans="1:15" ht="12.75" x14ac:dyDescent="0.2">
      <c r="A373" s="1"/>
      <c r="K373" s="27"/>
      <c r="M373" s="27"/>
      <c r="N373" s="27"/>
      <c r="O373" s="27"/>
    </row>
    <row r="374" spans="1:15" ht="12.75" x14ac:dyDescent="0.2">
      <c r="A374" s="1"/>
      <c r="K374" s="27"/>
      <c r="M374" s="27"/>
      <c r="N374" s="27"/>
      <c r="O374" s="27"/>
    </row>
    <row r="375" spans="1:15" ht="12.75" x14ac:dyDescent="0.2">
      <c r="A375" s="1"/>
      <c r="K375" s="27"/>
      <c r="M375" s="27"/>
      <c r="N375" s="27"/>
      <c r="O375" s="27"/>
    </row>
    <row r="376" spans="1:15" ht="12.75" x14ac:dyDescent="0.2">
      <c r="A376" s="1"/>
      <c r="K376" s="27"/>
      <c r="M376" s="27"/>
      <c r="N376" s="27"/>
      <c r="O376" s="27"/>
    </row>
    <row r="377" spans="1:15" ht="12.75" x14ac:dyDescent="0.2">
      <c r="A377" s="1"/>
      <c r="K377" s="27"/>
      <c r="M377" s="27"/>
      <c r="N377" s="27"/>
      <c r="O377" s="27"/>
    </row>
    <row r="378" spans="1:15" ht="12.75" x14ac:dyDescent="0.2">
      <c r="A378" s="1"/>
      <c r="K378" s="27"/>
      <c r="M378" s="27"/>
      <c r="N378" s="27"/>
      <c r="O378" s="27"/>
    </row>
    <row r="379" spans="1:15" ht="12.75" x14ac:dyDescent="0.2">
      <c r="A379" s="1"/>
      <c r="K379" s="27"/>
      <c r="M379" s="27"/>
      <c r="N379" s="27"/>
      <c r="O379" s="27"/>
    </row>
    <row r="380" spans="1:15" ht="12.75" x14ac:dyDescent="0.2">
      <c r="A380" s="1"/>
      <c r="K380" s="27"/>
      <c r="M380" s="27"/>
      <c r="N380" s="27"/>
      <c r="O380" s="27"/>
    </row>
    <row r="381" spans="1:15" ht="12.75" x14ac:dyDescent="0.2">
      <c r="A381" s="1"/>
      <c r="K381" s="27"/>
      <c r="M381" s="27"/>
      <c r="N381" s="27"/>
      <c r="O381" s="27"/>
    </row>
    <row r="382" spans="1:15" ht="12.75" x14ac:dyDescent="0.2">
      <c r="A382" s="1"/>
      <c r="K382" s="27"/>
      <c r="M382" s="27"/>
      <c r="N382" s="27"/>
      <c r="O382" s="27"/>
    </row>
    <row r="383" spans="1:15" ht="12.75" x14ac:dyDescent="0.2">
      <c r="A383" s="1"/>
      <c r="K383" s="27"/>
      <c r="M383" s="27"/>
      <c r="N383" s="27"/>
      <c r="O383" s="27"/>
    </row>
    <row r="384" spans="1:15" ht="12.75" x14ac:dyDescent="0.2">
      <c r="A384" s="1"/>
      <c r="K384" s="27"/>
      <c r="M384" s="27"/>
      <c r="N384" s="27"/>
      <c r="O384" s="27"/>
    </row>
    <row r="385" spans="1:15" ht="12.75" x14ac:dyDescent="0.2">
      <c r="A385" s="1"/>
      <c r="K385" s="27"/>
      <c r="M385" s="27"/>
      <c r="N385" s="27"/>
      <c r="O385" s="27"/>
    </row>
    <row r="386" spans="1:15" ht="12.75" x14ac:dyDescent="0.2">
      <c r="A386" s="1"/>
      <c r="K386" s="27"/>
      <c r="M386" s="27"/>
      <c r="N386" s="27"/>
      <c r="O386" s="27"/>
    </row>
    <row r="387" spans="1:15" ht="12.75" x14ac:dyDescent="0.2">
      <c r="A387" s="1"/>
      <c r="K387" s="27"/>
      <c r="M387" s="27"/>
      <c r="N387" s="27"/>
      <c r="O387" s="27"/>
    </row>
    <row r="388" spans="1:15" ht="12.75" x14ac:dyDescent="0.2">
      <c r="A388" s="1"/>
      <c r="K388" s="27"/>
      <c r="M388" s="27"/>
      <c r="N388" s="27"/>
      <c r="O388" s="27"/>
    </row>
    <row r="389" spans="1:15" ht="12.75" x14ac:dyDescent="0.2">
      <c r="A389" s="1"/>
      <c r="K389" s="27"/>
      <c r="M389" s="27"/>
      <c r="N389" s="27"/>
      <c r="O389" s="27"/>
    </row>
    <row r="390" spans="1:15" ht="12.75" x14ac:dyDescent="0.2">
      <c r="A390" s="1"/>
      <c r="K390" s="27"/>
      <c r="M390" s="27"/>
      <c r="N390" s="27"/>
      <c r="O390" s="27"/>
    </row>
    <row r="391" spans="1:15" ht="12.75" x14ac:dyDescent="0.2">
      <c r="A391" s="1"/>
      <c r="K391" s="27"/>
      <c r="M391" s="27"/>
      <c r="N391" s="27"/>
      <c r="O391" s="27"/>
    </row>
    <row r="392" spans="1:15" ht="12.75" x14ac:dyDescent="0.2">
      <c r="A392" s="1"/>
      <c r="K392" s="27"/>
      <c r="M392" s="27"/>
      <c r="N392" s="27"/>
      <c r="O392" s="27"/>
    </row>
    <row r="393" spans="1:15" ht="12.75" x14ac:dyDescent="0.2">
      <c r="A393" s="1"/>
      <c r="K393" s="27"/>
      <c r="M393" s="27"/>
      <c r="N393" s="27"/>
      <c r="O393" s="27"/>
    </row>
    <row r="394" spans="1:15" ht="12.75" x14ac:dyDescent="0.2">
      <c r="A394" s="1"/>
      <c r="K394" s="27"/>
      <c r="M394" s="27"/>
      <c r="N394" s="27"/>
      <c r="O394" s="27"/>
    </row>
    <row r="395" spans="1:15" ht="12.75" x14ac:dyDescent="0.2">
      <c r="A395" s="1"/>
      <c r="K395" s="27"/>
      <c r="M395" s="27"/>
      <c r="N395" s="27"/>
      <c r="O395" s="27"/>
    </row>
    <row r="396" spans="1:15" ht="12.75" x14ac:dyDescent="0.2">
      <c r="A396" s="1"/>
      <c r="K396" s="27"/>
      <c r="M396" s="27"/>
      <c r="N396" s="27"/>
      <c r="O396" s="27"/>
    </row>
    <row r="397" spans="1:15" ht="12.75" x14ac:dyDescent="0.2">
      <c r="A397" s="1"/>
      <c r="K397" s="27"/>
      <c r="M397" s="27"/>
      <c r="N397" s="27"/>
      <c r="O397" s="27"/>
    </row>
    <row r="398" spans="1:15" ht="12.75" x14ac:dyDescent="0.2">
      <c r="A398" s="1"/>
      <c r="K398" s="27"/>
      <c r="M398" s="27"/>
      <c r="N398" s="27"/>
      <c r="O398" s="27"/>
    </row>
    <row r="399" spans="1:15" ht="12.75" x14ac:dyDescent="0.2">
      <c r="A399" s="1"/>
      <c r="K399" s="27"/>
      <c r="M399" s="27"/>
      <c r="N399" s="27"/>
      <c r="O399" s="27"/>
    </row>
    <row r="400" spans="1:15" ht="12.75" x14ac:dyDescent="0.2">
      <c r="A400" s="1"/>
      <c r="K400" s="27"/>
      <c r="M400" s="27"/>
      <c r="N400" s="27"/>
      <c r="O400" s="27"/>
    </row>
    <row r="401" spans="1:15" ht="12.75" x14ac:dyDescent="0.2">
      <c r="A401" s="1"/>
      <c r="K401" s="27"/>
      <c r="M401" s="27"/>
      <c r="N401" s="27"/>
      <c r="O401" s="27"/>
    </row>
    <row r="402" spans="1:15" ht="12.75" x14ac:dyDescent="0.2">
      <c r="A402" s="1"/>
      <c r="K402" s="27"/>
      <c r="M402" s="27"/>
      <c r="N402" s="27"/>
      <c r="O402" s="27"/>
    </row>
    <row r="403" spans="1:15" ht="12.75" x14ac:dyDescent="0.2">
      <c r="A403" s="1"/>
      <c r="K403" s="27"/>
      <c r="M403" s="27"/>
      <c r="N403" s="27"/>
      <c r="O403" s="27"/>
    </row>
    <row r="404" spans="1:15" ht="12.75" x14ac:dyDescent="0.2">
      <c r="A404" s="1"/>
      <c r="K404" s="27"/>
      <c r="M404" s="27"/>
      <c r="N404" s="27"/>
      <c r="O404" s="27"/>
    </row>
    <row r="405" spans="1:15" ht="12.75" x14ac:dyDescent="0.2">
      <c r="A405" s="1"/>
      <c r="K405" s="27"/>
      <c r="M405" s="27"/>
      <c r="N405" s="27"/>
      <c r="O405" s="27"/>
    </row>
    <row r="406" spans="1:15" ht="12.75" x14ac:dyDescent="0.2">
      <c r="A406" s="1"/>
      <c r="K406" s="27"/>
      <c r="M406" s="27"/>
      <c r="N406" s="27"/>
      <c r="O406" s="27"/>
    </row>
    <row r="407" spans="1:15" ht="12.75" x14ac:dyDescent="0.2">
      <c r="A407" s="1"/>
      <c r="K407" s="27"/>
      <c r="M407" s="27"/>
      <c r="N407" s="27"/>
      <c r="O407" s="27"/>
    </row>
    <row r="408" spans="1:15" ht="12.75" x14ac:dyDescent="0.2">
      <c r="A408" s="1"/>
      <c r="K408" s="27"/>
      <c r="M408" s="27"/>
      <c r="N408" s="27"/>
      <c r="O408" s="27"/>
    </row>
    <row r="409" spans="1:15" ht="12.75" x14ac:dyDescent="0.2">
      <c r="A409" s="1"/>
      <c r="K409" s="27"/>
      <c r="M409" s="27"/>
      <c r="N409" s="27"/>
      <c r="O409" s="27"/>
    </row>
    <row r="410" spans="1:15" ht="12.75" x14ac:dyDescent="0.2">
      <c r="A410" s="1"/>
      <c r="K410" s="27"/>
      <c r="M410" s="27"/>
      <c r="N410" s="27"/>
      <c r="O410" s="27"/>
    </row>
    <row r="411" spans="1:15" ht="12.75" x14ac:dyDescent="0.2">
      <c r="A411" s="1"/>
      <c r="K411" s="27"/>
      <c r="M411" s="27"/>
      <c r="N411" s="27"/>
      <c r="O411" s="27"/>
    </row>
    <row r="412" spans="1:15" ht="12.75" x14ac:dyDescent="0.2">
      <c r="A412" s="1"/>
      <c r="K412" s="27"/>
      <c r="M412" s="27"/>
      <c r="N412" s="27"/>
      <c r="O412" s="27"/>
    </row>
    <row r="413" spans="1:15" ht="12.75" x14ac:dyDescent="0.2">
      <c r="A413" s="1"/>
      <c r="K413" s="27"/>
      <c r="M413" s="27"/>
      <c r="N413" s="27"/>
      <c r="O413" s="27"/>
    </row>
    <row r="414" spans="1:15" ht="12.75" x14ac:dyDescent="0.2">
      <c r="A414" s="1"/>
      <c r="K414" s="27"/>
      <c r="M414" s="27"/>
      <c r="N414" s="27"/>
      <c r="O414" s="27"/>
    </row>
    <row r="415" spans="1:15" ht="12.75" x14ac:dyDescent="0.2">
      <c r="A415" s="1"/>
      <c r="K415" s="27"/>
      <c r="M415" s="27"/>
      <c r="N415" s="27"/>
      <c r="O415" s="27"/>
    </row>
    <row r="416" spans="1:15" ht="12.75" x14ac:dyDescent="0.2">
      <c r="A416" s="1"/>
      <c r="K416" s="27"/>
      <c r="M416" s="27"/>
      <c r="N416" s="27"/>
      <c r="O416" s="27"/>
    </row>
    <row r="417" spans="1:15" ht="12.75" x14ac:dyDescent="0.2">
      <c r="A417" s="1"/>
      <c r="K417" s="27"/>
      <c r="M417" s="27"/>
      <c r="N417" s="27"/>
      <c r="O417" s="27"/>
    </row>
    <row r="418" spans="1:15" ht="12.75" x14ac:dyDescent="0.2">
      <c r="A418" s="1"/>
      <c r="K418" s="27"/>
      <c r="M418" s="27"/>
      <c r="N418" s="27"/>
      <c r="O418" s="27"/>
    </row>
    <row r="419" spans="1:15" ht="12.75" x14ac:dyDescent="0.2">
      <c r="A419" s="1"/>
      <c r="K419" s="27"/>
      <c r="M419" s="27"/>
      <c r="N419" s="27"/>
      <c r="O419" s="27"/>
    </row>
    <row r="420" spans="1:15" ht="12.75" x14ac:dyDescent="0.2">
      <c r="A420" s="1"/>
      <c r="K420" s="27"/>
      <c r="M420" s="27"/>
      <c r="N420" s="27"/>
      <c r="O420" s="27"/>
    </row>
    <row r="421" spans="1:15" ht="12.75" x14ac:dyDescent="0.2">
      <c r="A421" s="1"/>
      <c r="K421" s="27"/>
      <c r="M421" s="27"/>
      <c r="N421" s="27"/>
      <c r="O421" s="27"/>
    </row>
    <row r="422" spans="1:15" ht="12.75" x14ac:dyDescent="0.2">
      <c r="A422" s="1"/>
      <c r="K422" s="27"/>
      <c r="M422" s="27"/>
      <c r="N422" s="27"/>
      <c r="O422" s="27"/>
    </row>
    <row r="423" spans="1:15" ht="12.75" x14ac:dyDescent="0.2">
      <c r="A423" s="1"/>
      <c r="K423" s="27"/>
      <c r="M423" s="27"/>
      <c r="N423" s="27"/>
      <c r="O423" s="27"/>
    </row>
    <row r="424" spans="1:15" ht="12.75" x14ac:dyDescent="0.2">
      <c r="A424" s="1"/>
      <c r="K424" s="27"/>
      <c r="M424" s="27"/>
      <c r="N424" s="27"/>
      <c r="O424" s="27"/>
    </row>
    <row r="425" spans="1:15" ht="12.75" x14ac:dyDescent="0.2">
      <c r="A425" s="1"/>
      <c r="K425" s="27"/>
      <c r="M425" s="27"/>
      <c r="N425" s="27"/>
      <c r="O425" s="27"/>
    </row>
    <row r="426" spans="1:15" ht="12.75" x14ac:dyDescent="0.2">
      <c r="A426" s="1"/>
      <c r="K426" s="27"/>
      <c r="M426" s="27"/>
      <c r="N426" s="27"/>
      <c r="O426" s="27"/>
    </row>
    <row r="427" spans="1:15" ht="12.75" x14ac:dyDescent="0.2">
      <c r="A427" s="1"/>
      <c r="K427" s="27"/>
      <c r="M427" s="27"/>
      <c r="N427" s="27"/>
      <c r="O427" s="27"/>
    </row>
    <row r="428" spans="1:15" ht="12.75" x14ac:dyDescent="0.2">
      <c r="A428" s="1"/>
      <c r="K428" s="27"/>
      <c r="M428" s="27"/>
      <c r="N428" s="27"/>
      <c r="O428" s="27"/>
    </row>
    <row r="429" spans="1:15" ht="12.75" x14ac:dyDescent="0.2">
      <c r="A429" s="1"/>
      <c r="K429" s="27"/>
      <c r="M429" s="27"/>
      <c r="N429" s="27"/>
      <c r="O429" s="27"/>
    </row>
    <row r="430" spans="1:15" ht="12.75" x14ac:dyDescent="0.2">
      <c r="A430" s="1"/>
      <c r="K430" s="27"/>
      <c r="M430" s="27"/>
      <c r="N430" s="27"/>
      <c r="O430" s="27"/>
    </row>
    <row r="431" spans="1:15" ht="12.75" x14ac:dyDescent="0.2">
      <c r="A431" s="1"/>
      <c r="K431" s="27"/>
      <c r="M431" s="27"/>
      <c r="N431" s="27"/>
      <c r="O431" s="27"/>
    </row>
    <row r="432" spans="1:15" ht="12.75" x14ac:dyDescent="0.2">
      <c r="A432" s="1"/>
      <c r="K432" s="27"/>
      <c r="M432" s="27"/>
      <c r="N432" s="27"/>
      <c r="O432" s="27"/>
    </row>
    <row r="433" spans="1:15" ht="12.75" x14ac:dyDescent="0.2">
      <c r="A433" s="1"/>
      <c r="K433" s="27"/>
      <c r="M433" s="27"/>
      <c r="N433" s="27"/>
      <c r="O433" s="27"/>
    </row>
    <row r="434" spans="1:15" ht="12.75" x14ac:dyDescent="0.2">
      <c r="A434" s="1"/>
      <c r="K434" s="27"/>
      <c r="M434" s="27"/>
      <c r="N434" s="27"/>
      <c r="O434" s="27"/>
    </row>
    <row r="435" spans="1:15" ht="12.75" x14ac:dyDescent="0.2">
      <c r="A435" s="1"/>
      <c r="K435" s="27"/>
      <c r="M435" s="27"/>
      <c r="N435" s="27"/>
      <c r="O435" s="27"/>
    </row>
    <row r="436" spans="1:15" ht="12.75" x14ac:dyDescent="0.2">
      <c r="A436" s="1"/>
      <c r="K436" s="27"/>
      <c r="M436" s="27"/>
      <c r="N436" s="27"/>
      <c r="O436" s="27"/>
    </row>
    <row r="437" spans="1:15" ht="12.75" x14ac:dyDescent="0.2">
      <c r="A437" s="1"/>
      <c r="K437" s="27"/>
      <c r="M437" s="27"/>
      <c r="N437" s="27"/>
      <c r="O437" s="27"/>
    </row>
    <row r="438" spans="1:15" ht="12.75" x14ac:dyDescent="0.2">
      <c r="A438" s="1"/>
      <c r="K438" s="27"/>
      <c r="M438" s="27"/>
      <c r="N438" s="27"/>
      <c r="O438" s="27"/>
    </row>
    <row r="439" spans="1:15" ht="12.75" x14ac:dyDescent="0.2">
      <c r="A439" s="1"/>
      <c r="K439" s="27"/>
      <c r="M439" s="27"/>
      <c r="N439" s="27"/>
      <c r="O439" s="27"/>
    </row>
    <row r="440" spans="1:15" ht="12.75" x14ac:dyDescent="0.2">
      <c r="A440" s="1"/>
      <c r="K440" s="27"/>
      <c r="M440" s="27"/>
      <c r="N440" s="27"/>
      <c r="O440" s="27"/>
    </row>
    <row r="441" spans="1:15" ht="12.75" x14ac:dyDescent="0.2">
      <c r="A441" s="1"/>
      <c r="K441" s="27"/>
      <c r="M441" s="27"/>
      <c r="N441" s="27"/>
      <c r="O441" s="27"/>
    </row>
    <row r="442" spans="1:15" ht="12.75" x14ac:dyDescent="0.2">
      <c r="A442" s="1"/>
      <c r="K442" s="27"/>
      <c r="M442" s="27"/>
      <c r="N442" s="27"/>
      <c r="O442" s="27"/>
    </row>
    <row r="443" spans="1:15" ht="12.75" x14ac:dyDescent="0.2">
      <c r="A443" s="1"/>
      <c r="K443" s="27"/>
      <c r="M443" s="27"/>
      <c r="N443" s="27"/>
      <c r="O443" s="27"/>
    </row>
    <row r="444" spans="1:15" ht="12.75" x14ac:dyDescent="0.2">
      <c r="A444" s="1"/>
      <c r="K444" s="27"/>
      <c r="M444" s="27"/>
      <c r="N444" s="27"/>
      <c r="O444" s="27"/>
    </row>
    <row r="445" spans="1:15" ht="12.75" x14ac:dyDescent="0.2">
      <c r="A445" s="1"/>
      <c r="K445" s="27"/>
      <c r="M445" s="27"/>
      <c r="N445" s="27"/>
      <c r="O445" s="27"/>
    </row>
    <row r="446" spans="1:15" ht="12.75" x14ac:dyDescent="0.2">
      <c r="A446" s="1"/>
      <c r="K446" s="27"/>
      <c r="M446" s="27"/>
      <c r="N446" s="27"/>
      <c r="O446" s="27"/>
    </row>
    <row r="447" spans="1:15" ht="12.75" x14ac:dyDescent="0.2">
      <c r="A447" s="1"/>
      <c r="K447" s="27"/>
      <c r="M447" s="27"/>
      <c r="N447" s="27"/>
      <c r="O447" s="27"/>
    </row>
    <row r="448" spans="1:15" ht="12.75" x14ac:dyDescent="0.2">
      <c r="A448" s="1"/>
      <c r="K448" s="27"/>
      <c r="M448" s="27"/>
      <c r="N448" s="27"/>
      <c r="O448" s="27"/>
    </row>
    <row r="449" spans="1:15" ht="12.75" x14ac:dyDescent="0.2">
      <c r="A449" s="1"/>
      <c r="K449" s="27"/>
      <c r="M449" s="27"/>
      <c r="N449" s="27"/>
      <c r="O449" s="27"/>
    </row>
    <row r="450" spans="1:15" ht="12.75" x14ac:dyDescent="0.2">
      <c r="A450" s="1"/>
      <c r="K450" s="27"/>
      <c r="M450" s="27"/>
      <c r="N450" s="27"/>
      <c r="O450" s="27"/>
    </row>
    <row r="451" spans="1:15" ht="12.75" x14ac:dyDescent="0.2">
      <c r="A451" s="1"/>
      <c r="K451" s="27"/>
      <c r="M451" s="27"/>
      <c r="N451" s="27"/>
      <c r="O451" s="27"/>
    </row>
    <row r="452" spans="1:15" ht="12.75" x14ac:dyDescent="0.2">
      <c r="A452" s="1"/>
      <c r="K452" s="27"/>
      <c r="M452" s="27"/>
      <c r="N452" s="27"/>
      <c r="O452" s="27"/>
    </row>
    <row r="453" spans="1:15" ht="12.75" x14ac:dyDescent="0.2">
      <c r="A453" s="1"/>
      <c r="K453" s="27"/>
      <c r="M453" s="27"/>
      <c r="N453" s="27"/>
      <c r="O453" s="27"/>
    </row>
    <row r="454" spans="1:15" ht="12.75" x14ac:dyDescent="0.2">
      <c r="A454" s="1"/>
      <c r="K454" s="27"/>
      <c r="M454" s="27"/>
      <c r="N454" s="27"/>
      <c r="O454" s="27"/>
    </row>
    <row r="455" spans="1:15" ht="12.75" x14ac:dyDescent="0.2">
      <c r="A455" s="1"/>
      <c r="K455" s="27"/>
      <c r="M455" s="27"/>
      <c r="N455" s="27"/>
      <c r="O455" s="27"/>
    </row>
    <row r="456" spans="1:15" ht="12.75" x14ac:dyDescent="0.2">
      <c r="A456" s="1"/>
      <c r="K456" s="27"/>
      <c r="M456" s="27"/>
      <c r="N456" s="27"/>
      <c r="O456" s="27"/>
    </row>
    <row r="457" spans="1:15" ht="12.75" x14ac:dyDescent="0.2">
      <c r="A457" s="1"/>
      <c r="K457" s="27"/>
      <c r="M457" s="27"/>
      <c r="N457" s="27"/>
      <c r="O457" s="27"/>
    </row>
    <row r="458" spans="1:15" ht="12.75" x14ac:dyDescent="0.2">
      <c r="A458" s="1"/>
      <c r="K458" s="27"/>
      <c r="M458" s="27"/>
      <c r="N458" s="27"/>
      <c r="O458" s="27"/>
    </row>
    <row r="459" spans="1:15" ht="12.75" x14ac:dyDescent="0.2">
      <c r="A459" s="1"/>
      <c r="K459" s="27"/>
      <c r="M459" s="27"/>
      <c r="N459" s="27"/>
      <c r="O459" s="27"/>
    </row>
    <row r="460" spans="1:15" ht="12.75" x14ac:dyDescent="0.2">
      <c r="A460" s="1"/>
      <c r="K460" s="27"/>
      <c r="M460" s="27"/>
      <c r="N460" s="27"/>
      <c r="O460" s="27"/>
    </row>
    <row r="461" spans="1:15" ht="12.75" x14ac:dyDescent="0.2">
      <c r="A461" s="1"/>
      <c r="K461" s="27"/>
      <c r="M461" s="27"/>
      <c r="N461" s="27"/>
      <c r="O461" s="27"/>
    </row>
    <row r="462" spans="1:15" ht="12.75" x14ac:dyDescent="0.2">
      <c r="A462" s="1"/>
      <c r="K462" s="27"/>
      <c r="M462" s="27"/>
      <c r="N462" s="27"/>
      <c r="O462" s="27"/>
    </row>
    <row r="463" spans="1:15" ht="12.75" x14ac:dyDescent="0.2">
      <c r="A463" s="1"/>
      <c r="K463" s="27"/>
      <c r="M463" s="27"/>
      <c r="N463" s="27"/>
      <c r="O463" s="27"/>
    </row>
    <row r="464" spans="1:15" ht="12.75" x14ac:dyDescent="0.2">
      <c r="A464" s="1"/>
      <c r="K464" s="27"/>
      <c r="M464" s="27"/>
      <c r="N464" s="27"/>
      <c r="O464" s="27"/>
    </row>
    <row r="465" spans="1:15" ht="12.75" x14ac:dyDescent="0.2">
      <c r="A465" s="1"/>
      <c r="K465" s="27"/>
      <c r="M465" s="27"/>
      <c r="N465" s="27"/>
      <c r="O465" s="27"/>
    </row>
    <row r="466" spans="1:15" ht="12.75" x14ac:dyDescent="0.2">
      <c r="A466" s="1"/>
      <c r="K466" s="27"/>
      <c r="M466" s="27"/>
      <c r="N466" s="27"/>
      <c r="O466" s="27"/>
    </row>
    <row r="467" spans="1:15" ht="12.75" x14ac:dyDescent="0.2">
      <c r="A467" s="1"/>
      <c r="K467" s="27"/>
      <c r="M467" s="27"/>
      <c r="N467" s="27"/>
      <c r="O467" s="27"/>
    </row>
    <row r="468" spans="1:15" ht="12.75" x14ac:dyDescent="0.2">
      <c r="A468" s="1"/>
      <c r="K468" s="27"/>
      <c r="M468" s="27"/>
      <c r="N468" s="27"/>
      <c r="O468" s="27"/>
    </row>
    <row r="469" spans="1:15" ht="12.75" x14ac:dyDescent="0.2">
      <c r="A469" s="1"/>
      <c r="K469" s="27"/>
      <c r="M469" s="27"/>
      <c r="N469" s="27"/>
      <c r="O469" s="27"/>
    </row>
    <row r="470" spans="1:15" ht="12.75" x14ac:dyDescent="0.2">
      <c r="A470" s="1"/>
      <c r="K470" s="27"/>
      <c r="M470" s="27"/>
      <c r="N470" s="27"/>
      <c r="O470" s="27"/>
    </row>
    <row r="471" spans="1:15" ht="12.75" x14ac:dyDescent="0.2">
      <c r="A471" s="1"/>
      <c r="K471" s="27"/>
      <c r="M471" s="27"/>
      <c r="N471" s="27"/>
      <c r="O471" s="27"/>
    </row>
    <row r="472" spans="1:15" ht="12.75" x14ac:dyDescent="0.2">
      <c r="A472" s="1"/>
      <c r="K472" s="27"/>
      <c r="M472" s="27"/>
      <c r="N472" s="27"/>
      <c r="O472" s="27"/>
    </row>
    <row r="473" spans="1:15" ht="12.75" x14ac:dyDescent="0.2">
      <c r="A473" s="1"/>
      <c r="K473" s="27"/>
      <c r="M473" s="27"/>
      <c r="N473" s="27"/>
      <c r="O473" s="27"/>
    </row>
    <row r="474" spans="1:15" ht="12.75" x14ac:dyDescent="0.2">
      <c r="A474" s="1"/>
      <c r="K474" s="27"/>
      <c r="M474" s="27"/>
      <c r="N474" s="27"/>
      <c r="O474" s="27"/>
    </row>
    <row r="475" spans="1:15" ht="12.75" x14ac:dyDescent="0.2">
      <c r="A475" s="1"/>
      <c r="K475" s="27"/>
      <c r="M475" s="27"/>
      <c r="N475" s="27"/>
      <c r="O475" s="27"/>
    </row>
    <row r="476" spans="1:15" ht="12.75" x14ac:dyDescent="0.2">
      <c r="A476" s="1"/>
      <c r="K476" s="27"/>
      <c r="M476" s="27"/>
      <c r="N476" s="27"/>
      <c r="O476" s="27"/>
    </row>
    <row r="477" spans="1:15" ht="12.75" x14ac:dyDescent="0.2">
      <c r="A477" s="1"/>
      <c r="K477" s="27"/>
      <c r="M477" s="27"/>
      <c r="N477" s="27"/>
      <c r="O477" s="27"/>
    </row>
    <row r="478" spans="1:15" ht="12.75" x14ac:dyDescent="0.2">
      <c r="A478" s="1"/>
      <c r="K478" s="27"/>
      <c r="M478" s="27"/>
      <c r="N478" s="27"/>
      <c r="O478" s="27"/>
    </row>
    <row r="479" spans="1:15" ht="12.75" x14ac:dyDescent="0.2">
      <c r="A479" s="1"/>
      <c r="K479" s="27"/>
      <c r="M479" s="27"/>
      <c r="N479" s="27"/>
      <c r="O479" s="27"/>
    </row>
    <row r="480" spans="1:15" ht="12.75" x14ac:dyDescent="0.2">
      <c r="A480" s="1"/>
      <c r="K480" s="27"/>
      <c r="M480" s="27"/>
      <c r="N480" s="27"/>
      <c r="O480" s="27"/>
    </row>
    <row r="481" spans="1:15" ht="12.75" x14ac:dyDescent="0.2">
      <c r="A481" s="1"/>
      <c r="K481" s="27"/>
      <c r="M481" s="27"/>
      <c r="N481" s="27"/>
      <c r="O481" s="27"/>
    </row>
    <row r="482" spans="1:15" ht="12.75" x14ac:dyDescent="0.2">
      <c r="A482" s="1"/>
      <c r="K482" s="27"/>
      <c r="M482" s="27"/>
      <c r="N482" s="27"/>
      <c r="O482" s="27"/>
    </row>
    <row r="483" spans="1:15" ht="12.75" x14ac:dyDescent="0.2">
      <c r="A483" s="1"/>
      <c r="K483" s="27"/>
      <c r="M483" s="27"/>
      <c r="N483" s="27"/>
      <c r="O483" s="27"/>
    </row>
    <row r="484" spans="1:15" ht="12.75" x14ac:dyDescent="0.2">
      <c r="A484" s="1"/>
      <c r="K484" s="27"/>
      <c r="M484" s="27"/>
      <c r="N484" s="27"/>
      <c r="O484" s="27"/>
    </row>
    <row r="485" spans="1:15" ht="12.75" x14ac:dyDescent="0.2">
      <c r="A485" s="1"/>
      <c r="K485" s="27"/>
      <c r="M485" s="27"/>
      <c r="N485" s="27"/>
      <c r="O485" s="27"/>
    </row>
    <row r="486" spans="1:15" ht="12.75" x14ac:dyDescent="0.2">
      <c r="A486" s="1"/>
      <c r="K486" s="27"/>
      <c r="M486" s="27"/>
      <c r="N486" s="27"/>
      <c r="O486" s="27"/>
    </row>
    <row r="487" spans="1:15" ht="12.75" x14ac:dyDescent="0.2">
      <c r="A487" s="1"/>
      <c r="K487" s="27"/>
      <c r="M487" s="27"/>
      <c r="N487" s="27"/>
      <c r="O487" s="27"/>
    </row>
    <row r="488" spans="1:15" ht="12.75" x14ac:dyDescent="0.2">
      <c r="A488" s="1"/>
      <c r="K488" s="27"/>
      <c r="M488" s="27"/>
      <c r="N488" s="27"/>
      <c r="O488" s="27"/>
    </row>
    <row r="489" spans="1:15" ht="12.75" x14ac:dyDescent="0.2">
      <c r="A489" s="1"/>
      <c r="K489" s="27"/>
      <c r="M489" s="27"/>
      <c r="N489" s="27"/>
      <c r="O489" s="27"/>
    </row>
    <row r="490" spans="1:15" ht="12.75" x14ac:dyDescent="0.2">
      <c r="A490" s="1"/>
      <c r="K490" s="27"/>
      <c r="M490" s="27"/>
      <c r="N490" s="27"/>
      <c r="O490" s="27"/>
    </row>
    <row r="491" spans="1:15" ht="12.75" x14ac:dyDescent="0.2">
      <c r="A491" s="1"/>
      <c r="K491" s="27"/>
      <c r="M491" s="27"/>
      <c r="N491" s="27"/>
      <c r="O491" s="27"/>
    </row>
    <row r="492" spans="1:15" ht="12.75" x14ac:dyDescent="0.2">
      <c r="A492" s="1"/>
      <c r="K492" s="27"/>
      <c r="M492" s="27"/>
      <c r="N492" s="27"/>
      <c r="O492" s="27"/>
    </row>
    <row r="493" spans="1:15" ht="12.75" x14ac:dyDescent="0.2">
      <c r="A493" s="1"/>
      <c r="K493" s="27"/>
      <c r="M493" s="27"/>
      <c r="N493" s="27"/>
      <c r="O493" s="27"/>
    </row>
    <row r="494" spans="1:15" ht="12.75" x14ac:dyDescent="0.2">
      <c r="A494" s="1"/>
      <c r="K494" s="27"/>
      <c r="M494" s="27"/>
      <c r="N494" s="27"/>
      <c r="O494" s="27"/>
    </row>
    <row r="495" spans="1:15" ht="12.75" x14ac:dyDescent="0.2">
      <c r="A495" s="1"/>
      <c r="K495" s="27"/>
      <c r="M495" s="27"/>
      <c r="N495" s="27"/>
      <c r="O495" s="27"/>
    </row>
    <row r="496" spans="1:15" ht="12.75" x14ac:dyDescent="0.2">
      <c r="A496" s="1"/>
      <c r="K496" s="27"/>
      <c r="M496" s="27"/>
      <c r="N496" s="27"/>
      <c r="O496" s="27"/>
    </row>
    <row r="497" spans="1:15" ht="12.75" x14ac:dyDescent="0.2">
      <c r="A497" s="1"/>
      <c r="K497" s="27"/>
      <c r="M497" s="27"/>
      <c r="N497" s="27"/>
      <c r="O497" s="27"/>
    </row>
    <row r="498" spans="1:15" ht="12.75" x14ac:dyDescent="0.2">
      <c r="A498" s="1"/>
      <c r="K498" s="27"/>
      <c r="M498" s="27"/>
      <c r="N498" s="27"/>
      <c r="O498" s="27"/>
    </row>
    <row r="499" spans="1:15" ht="12.75" x14ac:dyDescent="0.2">
      <c r="A499" s="1"/>
      <c r="K499" s="27"/>
      <c r="M499" s="27"/>
      <c r="N499" s="27"/>
      <c r="O499" s="27"/>
    </row>
    <row r="500" spans="1:15" ht="12.75" x14ac:dyDescent="0.2">
      <c r="A500" s="1"/>
      <c r="K500" s="27"/>
      <c r="M500" s="27"/>
      <c r="N500" s="27"/>
      <c r="O500" s="27"/>
    </row>
    <row r="501" spans="1:15" ht="12.75" x14ac:dyDescent="0.2">
      <c r="A501" s="1"/>
      <c r="K501" s="27"/>
      <c r="M501" s="27"/>
      <c r="N501" s="27"/>
      <c r="O501" s="27"/>
    </row>
    <row r="502" spans="1:15" ht="12.75" x14ac:dyDescent="0.2">
      <c r="A502" s="1"/>
      <c r="K502" s="27"/>
      <c r="M502" s="27"/>
      <c r="N502" s="27"/>
      <c r="O502" s="27"/>
    </row>
    <row r="503" spans="1:15" ht="12.75" x14ac:dyDescent="0.2">
      <c r="A503" s="1"/>
      <c r="K503" s="27"/>
      <c r="M503" s="27"/>
      <c r="N503" s="27"/>
      <c r="O503" s="27"/>
    </row>
    <row r="504" spans="1:15" ht="12.75" x14ac:dyDescent="0.2">
      <c r="A504" s="1"/>
      <c r="K504" s="27"/>
      <c r="M504" s="27"/>
      <c r="N504" s="27"/>
      <c r="O504" s="27"/>
    </row>
    <row r="505" spans="1:15" ht="12.75" x14ac:dyDescent="0.2">
      <c r="A505" s="1"/>
      <c r="K505" s="27"/>
      <c r="M505" s="27"/>
      <c r="N505" s="27"/>
      <c r="O505" s="27"/>
    </row>
    <row r="506" spans="1:15" ht="12.75" x14ac:dyDescent="0.2">
      <c r="A506" s="1"/>
      <c r="K506" s="27"/>
      <c r="M506" s="27"/>
      <c r="N506" s="27"/>
      <c r="O506" s="27"/>
    </row>
    <row r="507" spans="1:15" ht="12.75" x14ac:dyDescent="0.2">
      <c r="A507" s="1"/>
      <c r="K507" s="27"/>
      <c r="M507" s="27"/>
      <c r="N507" s="27"/>
      <c r="O507" s="27"/>
    </row>
    <row r="508" spans="1:15" ht="12.75" x14ac:dyDescent="0.2">
      <c r="A508" s="1"/>
      <c r="K508" s="27"/>
      <c r="M508" s="27"/>
      <c r="N508" s="27"/>
      <c r="O508" s="27"/>
    </row>
    <row r="509" spans="1:15" ht="12.75" x14ac:dyDescent="0.2">
      <c r="A509" s="1"/>
      <c r="K509" s="27"/>
      <c r="M509" s="27"/>
      <c r="N509" s="27"/>
      <c r="O509" s="27"/>
    </row>
    <row r="510" spans="1:15" ht="12.75" x14ac:dyDescent="0.2">
      <c r="A510" s="1"/>
      <c r="K510" s="27"/>
      <c r="M510" s="27"/>
      <c r="N510" s="27"/>
      <c r="O510" s="27"/>
    </row>
    <row r="511" spans="1:15" ht="12.75" x14ac:dyDescent="0.2">
      <c r="A511" s="1"/>
      <c r="K511" s="27"/>
      <c r="M511" s="27"/>
      <c r="N511" s="27"/>
      <c r="O511" s="27"/>
    </row>
    <row r="512" spans="1:15" ht="12.75" x14ac:dyDescent="0.2">
      <c r="A512" s="1"/>
      <c r="K512" s="27"/>
      <c r="M512" s="27"/>
      <c r="N512" s="27"/>
      <c r="O512" s="27"/>
    </row>
    <row r="513" spans="1:15" ht="12.75" x14ac:dyDescent="0.2">
      <c r="A513" s="1"/>
      <c r="K513" s="27"/>
      <c r="M513" s="27"/>
      <c r="N513" s="27"/>
      <c r="O513" s="27"/>
    </row>
    <row r="514" spans="1:15" ht="12.75" x14ac:dyDescent="0.2">
      <c r="A514" s="1"/>
      <c r="K514" s="27"/>
      <c r="M514" s="27"/>
      <c r="N514" s="27"/>
      <c r="O514" s="27"/>
    </row>
    <row r="515" spans="1:15" ht="12.75" x14ac:dyDescent="0.2">
      <c r="A515" s="1"/>
      <c r="K515" s="27"/>
      <c r="M515" s="27"/>
      <c r="N515" s="27"/>
      <c r="O515" s="27"/>
    </row>
    <row r="516" spans="1:15" ht="12.75" x14ac:dyDescent="0.2">
      <c r="A516" s="1"/>
      <c r="K516" s="27"/>
      <c r="M516" s="27"/>
      <c r="N516" s="27"/>
      <c r="O516" s="27"/>
    </row>
    <row r="517" spans="1:15" ht="12.75" x14ac:dyDescent="0.2">
      <c r="A517" s="1"/>
      <c r="K517" s="27"/>
      <c r="M517" s="27"/>
      <c r="N517" s="27"/>
      <c r="O517" s="27"/>
    </row>
    <row r="518" spans="1:15" ht="12.75" x14ac:dyDescent="0.2">
      <c r="A518" s="1"/>
      <c r="K518" s="27"/>
      <c r="M518" s="27"/>
      <c r="N518" s="27"/>
      <c r="O518" s="27"/>
    </row>
    <row r="519" spans="1:15" ht="12.75" x14ac:dyDescent="0.2">
      <c r="A519" s="1"/>
      <c r="K519" s="27"/>
      <c r="M519" s="27"/>
      <c r="N519" s="27"/>
      <c r="O519" s="27"/>
    </row>
    <row r="520" spans="1:15" ht="12.75" x14ac:dyDescent="0.2">
      <c r="A520" s="1"/>
      <c r="K520" s="27"/>
      <c r="M520" s="27"/>
      <c r="N520" s="27"/>
      <c r="O520" s="27"/>
    </row>
    <row r="521" spans="1:15" ht="12.75" x14ac:dyDescent="0.2">
      <c r="A521" s="1"/>
      <c r="K521" s="27"/>
      <c r="M521" s="27"/>
      <c r="N521" s="27"/>
      <c r="O521" s="27"/>
    </row>
    <row r="522" spans="1:15" ht="12.75" x14ac:dyDescent="0.2">
      <c r="A522" s="1"/>
      <c r="K522" s="27"/>
      <c r="M522" s="27"/>
      <c r="N522" s="27"/>
      <c r="O522" s="27"/>
    </row>
    <row r="523" spans="1:15" ht="12.75" x14ac:dyDescent="0.2">
      <c r="A523" s="1"/>
      <c r="K523" s="27"/>
      <c r="M523" s="27"/>
      <c r="N523" s="27"/>
      <c r="O523" s="27"/>
    </row>
    <row r="524" spans="1:15" ht="12.75" x14ac:dyDescent="0.2">
      <c r="A524" s="1"/>
      <c r="K524" s="27"/>
      <c r="M524" s="27"/>
      <c r="N524" s="27"/>
      <c r="O524" s="27"/>
    </row>
    <row r="525" spans="1:15" ht="12.75" x14ac:dyDescent="0.2">
      <c r="A525" s="1"/>
      <c r="K525" s="27"/>
      <c r="M525" s="27"/>
      <c r="N525" s="27"/>
      <c r="O525" s="27"/>
    </row>
    <row r="526" spans="1:15" ht="12.75" x14ac:dyDescent="0.2">
      <c r="A526" s="1"/>
      <c r="K526" s="27"/>
      <c r="M526" s="27"/>
      <c r="N526" s="27"/>
      <c r="O526" s="27"/>
    </row>
    <row r="527" spans="1:15" ht="12.75" x14ac:dyDescent="0.2">
      <c r="A527" s="1"/>
      <c r="K527" s="27"/>
      <c r="M527" s="27"/>
      <c r="N527" s="27"/>
      <c r="O527" s="27"/>
    </row>
    <row r="528" spans="1:15" ht="12.75" x14ac:dyDescent="0.2">
      <c r="A528" s="1"/>
      <c r="K528" s="27"/>
      <c r="M528" s="27"/>
      <c r="N528" s="27"/>
      <c r="O528" s="27"/>
    </row>
    <row r="529" spans="1:15" ht="12.75" x14ac:dyDescent="0.2">
      <c r="A529" s="1"/>
      <c r="K529" s="27"/>
      <c r="M529" s="27"/>
      <c r="N529" s="27"/>
      <c r="O529" s="27"/>
    </row>
    <row r="530" spans="1:15" ht="12.75" x14ac:dyDescent="0.2">
      <c r="A530" s="1"/>
      <c r="K530" s="27"/>
      <c r="M530" s="27"/>
      <c r="N530" s="27"/>
      <c r="O530" s="27"/>
    </row>
    <row r="531" spans="1:15" ht="12.75" x14ac:dyDescent="0.2">
      <c r="A531" s="1"/>
      <c r="K531" s="27"/>
      <c r="M531" s="27"/>
      <c r="N531" s="27"/>
      <c r="O531" s="27"/>
    </row>
    <row r="532" spans="1:15" ht="12.75" x14ac:dyDescent="0.2">
      <c r="A532" s="1"/>
      <c r="K532" s="27"/>
      <c r="M532" s="27"/>
      <c r="N532" s="27"/>
      <c r="O532" s="27"/>
    </row>
    <row r="533" spans="1:15" ht="12.75" x14ac:dyDescent="0.2">
      <c r="A533" s="1"/>
      <c r="K533" s="27"/>
      <c r="M533" s="27"/>
      <c r="N533" s="27"/>
      <c r="O533" s="27"/>
    </row>
    <row r="534" spans="1:15" ht="12.75" x14ac:dyDescent="0.2">
      <c r="A534" s="1"/>
      <c r="K534" s="27"/>
      <c r="M534" s="27"/>
      <c r="N534" s="27"/>
      <c r="O534" s="27"/>
    </row>
    <row r="535" spans="1:15" ht="12.75" x14ac:dyDescent="0.2">
      <c r="A535" s="1"/>
      <c r="K535" s="27"/>
      <c r="M535" s="27"/>
      <c r="N535" s="27"/>
      <c r="O535" s="27"/>
    </row>
    <row r="536" spans="1:15" ht="12.75" x14ac:dyDescent="0.2">
      <c r="A536" s="1"/>
      <c r="K536" s="27"/>
      <c r="M536" s="27"/>
      <c r="N536" s="27"/>
      <c r="O536" s="27"/>
    </row>
    <row r="537" spans="1:15" ht="12.75" x14ac:dyDescent="0.2">
      <c r="A537" s="1"/>
      <c r="K537" s="27"/>
      <c r="M537" s="27"/>
      <c r="N537" s="27"/>
      <c r="O537" s="27"/>
    </row>
    <row r="538" spans="1:15" ht="12.75" x14ac:dyDescent="0.2">
      <c r="A538" s="1"/>
      <c r="K538" s="27"/>
      <c r="M538" s="27"/>
      <c r="N538" s="27"/>
      <c r="O538" s="27"/>
    </row>
    <row r="539" spans="1:15" ht="12.75" x14ac:dyDescent="0.2">
      <c r="A539" s="1"/>
      <c r="K539" s="27"/>
      <c r="M539" s="27"/>
      <c r="N539" s="27"/>
      <c r="O539" s="27"/>
    </row>
    <row r="540" spans="1:15" ht="12.75" x14ac:dyDescent="0.2">
      <c r="A540" s="1"/>
      <c r="K540" s="27"/>
      <c r="M540" s="27"/>
      <c r="N540" s="27"/>
      <c r="O540" s="27"/>
    </row>
    <row r="541" spans="1:15" ht="12.75" x14ac:dyDescent="0.2">
      <c r="A541" s="1"/>
      <c r="K541" s="27"/>
      <c r="M541" s="27"/>
      <c r="N541" s="27"/>
      <c r="O541" s="27"/>
    </row>
    <row r="542" spans="1:15" ht="12.75" x14ac:dyDescent="0.2">
      <c r="A542" s="1"/>
      <c r="K542" s="27"/>
      <c r="M542" s="27"/>
      <c r="N542" s="27"/>
      <c r="O542" s="27"/>
    </row>
    <row r="543" spans="1:15" ht="12.75" x14ac:dyDescent="0.2">
      <c r="A543" s="1"/>
      <c r="K543" s="27"/>
      <c r="M543" s="27"/>
      <c r="N543" s="27"/>
      <c r="O543" s="27"/>
    </row>
    <row r="544" spans="1:15" ht="12.75" x14ac:dyDescent="0.2">
      <c r="A544" s="1"/>
      <c r="K544" s="27"/>
      <c r="M544" s="27"/>
      <c r="N544" s="27"/>
      <c r="O544" s="27"/>
    </row>
    <row r="545" spans="1:15" ht="12.75" x14ac:dyDescent="0.2">
      <c r="A545" s="1"/>
      <c r="K545" s="27"/>
      <c r="M545" s="27"/>
      <c r="N545" s="27"/>
      <c r="O545" s="27"/>
    </row>
    <row r="546" spans="1:15" ht="12.75" x14ac:dyDescent="0.2">
      <c r="A546" s="1"/>
      <c r="K546" s="27"/>
      <c r="M546" s="27"/>
      <c r="N546" s="27"/>
      <c r="O546" s="27"/>
    </row>
    <row r="547" spans="1:15" ht="12.75" x14ac:dyDescent="0.2">
      <c r="A547" s="1"/>
      <c r="K547" s="27"/>
      <c r="M547" s="27"/>
      <c r="N547" s="27"/>
      <c r="O547" s="27"/>
    </row>
    <row r="548" spans="1:15" ht="12.75" x14ac:dyDescent="0.2">
      <c r="A548" s="1"/>
      <c r="K548" s="27"/>
      <c r="M548" s="27"/>
      <c r="N548" s="27"/>
      <c r="O548" s="27"/>
    </row>
    <row r="549" spans="1:15" ht="12.75" x14ac:dyDescent="0.2">
      <c r="A549" s="1"/>
      <c r="K549" s="27"/>
      <c r="M549" s="27"/>
      <c r="N549" s="27"/>
      <c r="O549" s="27"/>
    </row>
    <row r="550" spans="1:15" ht="12.75" x14ac:dyDescent="0.2">
      <c r="A550" s="1"/>
      <c r="K550" s="27"/>
      <c r="M550" s="27"/>
      <c r="N550" s="27"/>
      <c r="O550" s="27"/>
    </row>
    <row r="551" spans="1:15" ht="12.75" x14ac:dyDescent="0.2">
      <c r="A551" s="1"/>
      <c r="K551" s="27"/>
      <c r="M551" s="27"/>
      <c r="N551" s="27"/>
      <c r="O551" s="27"/>
    </row>
    <row r="552" spans="1:15" ht="12.75" x14ac:dyDescent="0.2">
      <c r="A552" s="1"/>
      <c r="K552" s="27"/>
      <c r="M552" s="27"/>
      <c r="N552" s="27"/>
      <c r="O552" s="27"/>
    </row>
    <row r="553" spans="1:15" ht="12.75" x14ac:dyDescent="0.2">
      <c r="A553" s="1"/>
      <c r="K553" s="27"/>
      <c r="M553" s="27"/>
      <c r="N553" s="27"/>
      <c r="O553" s="27"/>
    </row>
    <row r="554" spans="1:15" ht="12.75" x14ac:dyDescent="0.2">
      <c r="A554" s="1"/>
      <c r="K554" s="27"/>
      <c r="M554" s="27"/>
      <c r="N554" s="27"/>
      <c r="O554" s="27"/>
    </row>
    <row r="555" spans="1:15" ht="12.75" x14ac:dyDescent="0.2">
      <c r="A555" s="1"/>
      <c r="K555" s="27"/>
      <c r="M555" s="27"/>
      <c r="N555" s="27"/>
      <c r="O555" s="27"/>
    </row>
    <row r="556" spans="1:15" ht="12.75" x14ac:dyDescent="0.2">
      <c r="A556" s="1"/>
      <c r="K556" s="27"/>
      <c r="M556" s="27"/>
      <c r="N556" s="27"/>
      <c r="O556" s="27"/>
    </row>
    <row r="557" spans="1:15" ht="12.75" x14ac:dyDescent="0.2">
      <c r="A557" s="1"/>
      <c r="K557" s="27"/>
      <c r="M557" s="27"/>
      <c r="N557" s="27"/>
      <c r="O557" s="27"/>
    </row>
    <row r="558" spans="1:15" ht="12.75" x14ac:dyDescent="0.2">
      <c r="A558" s="1"/>
      <c r="K558" s="27"/>
      <c r="M558" s="27"/>
      <c r="N558" s="27"/>
      <c r="O558" s="27"/>
    </row>
    <row r="559" spans="1:15" ht="12.75" x14ac:dyDescent="0.2">
      <c r="A559" s="1"/>
      <c r="K559" s="27"/>
      <c r="M559" s="27"/>
      <c r="N559" s="27"/>
      <c r="O559" s="27"/>
    </row>
    <row r="560" spans="1:15" ht="12.75" x14ac:dyDescent="0.2">
      <c r="A560" s="1"/>
      <c r="K560" s="27"/>
      <c r="M560" s="27"/>
      <c r="N560" s="27"/>
      <c r="O560" s="27"/>
    </row>
    <row r="561" spans="1:15" ht="12.75" x14ac:dyDescent="0.2">
      <c r="A561" s="1"/>
      <c r="K561" s="27"/>
      <c r="M561" s="27"/>
      <c r="N561" s="27"/>
      <c r="O561" s="27"/>
    </row>
    <row r="562" spans="1:15" ht="12.75" x14ac:dyDescent="0.2">
      <c r="A562" s="1"/>
      <c r="K562" s="27"/>
      <c r="M562" s="27"/>
      <c r="N562" s="27"/>
      <c r="O562" s="27"/>
    </row>
    <row r="563" spans="1:15" ht="12.75" x14ac:dyDescent="0.2">
      <c r="A563" s="1"/>
      <c r="K563" s="27"/>
      <c r="M563" s="27"/>
      <c r="N563" s="27"/>
      <c r="O563" s="27"/>
    </row>
    <row r="564" spans="1:15" ht="12.75" x14ac:dyDescent="0.2">
      <c r="A564" s="1"/>
      <c r="K564" s="27"/>
      <c r="M564" s="27"/>
      <c r="N564" s="27"/>
      <c r="O564" s="27"/>
    </row>
    <row r="565" spans="1:15" ht="12.75" x14ac:dyDescent="0.2">
      <c r="A565" s="1"/>
      <c r="K565" s="27"/>
      <c r="M565" s="27"/>
      <c r="N565" s="27"/>
      <c r="O565" s="27"/>
    </row>
    <row r="566" spans="1:15" ht="12.75" x14ac:dyDescent="0.2">
      <c r="A566" s="1"/>
      <c r="K566" s="27"/>
      <c r="M566" s="27"/>
      <c r="N566" s="27"/>
      <c r="O566" s="27"/>
    </row>
    <row r="567" spans="1:15" ht="12.75" x14ac:dyDescent="0.2">
      <c r="A567" s="1"/>
      <c r="K567" s="27"/>
      <c r="M567" s="27"/>
      <c r="N567" s="27"/>
      <c r="O567" s="27"/>
    </row>
    <row r="568" spans="1:15" ht="12.75" x14ac:dyDescent="0.2">
      <c r="A568" s="1"/>
      <c r="K568" s="27"/>
      <c r="M568" s="27"/>
      <c r="N568" s="27"/>
      <c r="O568" s="27"/>
    </row>
    <row r="569" spans="1:15" ht="12.75" x14ac:dyDescent="0.2">
      <c r="A569" s="1"/>
      <c r="K569" s="27"/>
      <c r="M569" s="27"/>
      <c r="N569" s="27"/>
      <c r="O569" s="27"/>
    </row>
    <row r="570" spans="1:15" ht="12.75" x14ac:dyDescent="0.2">
      <c r="A570" s="1"/>
      <c r="K570" s="27"/>
      <c r="M570" s="27"/>
      <c r="N570" s="27"/>
      <c r="O570" s="27"/>
    </row>
    <row r="571" spans="1:15" ht="12.75" x14ac:dyDescent="0.2">
      <c r="A571" s="1"/>
      <c r="K571" s="27"/>
      <c r="M571" s="27"/>
      <c r="N571" s="27"/>
      <c r="O571" s="27"/>
    </row>
    <row r="572" spans="1:15" ht="12.75" x14ac:dyDescent="0.2">
      <c r="A572" s="1"/>
      <c r="K572" s="27"/>
      <c r="M572" s="27"/>
      <c r="N572" s="27"/>
      <c r="O572" s="27"/>
    </row>
    <row r="573" spans="1:15" ht="12.75" x14ac:dyDescent="0.2">
      <c r="A573" s="1"/>
      <c r="K573" s="27"/>
      <c r="M573" s="27"/>
      <c r="N573" s="27"/>
      <c r="O573" s="27"/>
    </row>
    <row r="574" spans="1:15" ht="12.75" x14ac:dyDescent="0.2">
      <c r="A574" s="1"/>
      <c r="K574" s="27"/>
      <c r="M574" s="27"/>
      <c r="N574" s="27"/>
      <c r="O574" s="27"/>
    </row>
    <row r="575" spans="1:15" ht="12.75" x14ac:dyDescent="0.2">
      <c r="A575" s="1"/>
      <c r="K575" s="27"/>
      <c r="M575" s="27"/>
      <c r="N575" s="27"/>
      <c r="O575" s="27"/>
    </row>
    <row r="576" spans="1:15" ht="12.75" x14ac:dyDescent="0.2">
      <c r="A576" s="1"/>
      <c r="K576" s="27"/>
      <c r="M576" s="27"/>
      <c r="N576" s="27"/>
      <c r="O576" s="27"/>
    </row>
    <row r="577" spans="1:15" ht="12.75" x14ac:dyDescent="0.2">
      <c r="A577" s="1"/>
      <c r="K577" s="27"/>
      <c r="M577" s="27"/>
      <c r="N577" s="27"/>
      <c r="O577" s="27"/>
    </row>
    <row r="578" spans="1:15" ht="12.75" x14ac:dyDescent="0.2">
      <c r="A578" s="1"/>
      <c r="K578" s="27"/>
      <c r="M578" s="27"/>
      <c r="N578" s="27"/>
      <c r="O578" s="27"/>
    </row>
    <row r="579" spans="1:15" ht="12.75" x14ac:dyDescent="0.2">
      <c r="A579" s="1"/>
      <c r="K579" s="27"/>
      <c r="M579" s="27"/>
      <c r="N579" s="27"/>
      <c r="O579" s="27"/>
    </row>
    <row r="580" spans="1:15" ht="12.75" x14ac:dyDescent="0.2">
      <c r="A580" s="1"/>
      <c r="K580" s="27"/>
      <c r="M580" s="27"/>
      <c r="N580" s="27"/>
      <c r="O580" s="27"/>
    </row>
    <row r="581" spans="1:15" ht="12.75" x14ac:dyDescent="0.2">
      <c r="A581" s="1"/>
      <c r="K581" s="27"/>
      <c r="M581" s="27"/>
      <c r="N581" s="27"/>
      <c r="O581" s="27"/>
    </row>
    <row r="582" spans="1:15" ht="12.75" x14ac:dyDescent="0.2">
      <c r="A582" s="1"/>
      <c r="K582" s="27"/>
      <c r="M582" s="27"/>
      <c r="N582" s="27"/>
      <c r="O582" s="27"/>
    </row>
    <row r="583" spans="1:15" ht="12.75" x14ac:dyDescent="0.2">
      <c r="A583" s="1"/>
      <c r="K583" s="27"/>
      <c r="M583" s="27"/>
      <c r="N583" s="27"/>
      <c r="O583" s="27"/>
    </row>
    <row r="584" spans="1:15" ht="12.75" x14ac:dyDescent="0.2">
      <c r="A584" s="1"/>
      <c r="K584" s="27"/>
      <c r="M584" s="27"/>
      <c r="N584" s="27"/>
      <c r="O584" s="27"/>
    </row>
    <row r="585" spans="1:15" ht="12.75" x14ac:dyDescent="0.2">
      <c r="A585" s="1"/>
      <c r="K585" s="27"/>
      <c r="M585" s="27"/>
      <c r="N585" s="27"/>
      <c r="O585" s="27"/>
    </row>
    <row r="586" spans="1:15" ht="12.75" x14ac:dyDescent="0.2">
      <c r="A586" s="1"/>
      <c r="K586" s="27"/>
      <c r="M586" s="27"/>
      <c r="N586" s="27"/>
      <c r="O586" s="27"/>
    </row>
    <row r="587" spans="1:15" ht="12.75" x14ac:dyDescent="0.2">
      <c r="A587" s="1"/>
      <c r="K587" s="27"/>
      <c r="M587" s="27"/>
      <c r="N587" s="27"/>
      <c r="O587" s="27"/>
    </row>
    <row r="588" spans="1:15" ht="12.75" x14ac:dyDescent="0.2">
      <c r="A588" s="1"/>
      <c r="K588" s="27"/>
      <c r="M588" s="27"/>
      <c r="N588" s="27"/>
      <c r="O588" s="27"/>
    </row>
    <row r="589" spans="1:15" ht="12.75" x14ac:dyDescent="0.2">
      <c r="A589" s="1"/>
      <c r="K589" s="27"/>
      <c r="M589" s="27"/>
      <c r="N589" s="27"/>
      <c r="O589" s="27"/>
    </row>
    <row r="590" spans="1:15" ht="12.75" x14ac:dyDescent="0.2">
      <c r="A590" s="1"/>
      <c r="K590" s="27"/>
      <c r="M590" s="27"/>
      <c r="N590" s="27"/>
      <c r="O590" s="27"/>
    </row>
    <row r="591" spans="1:15" ht="12.75" x14ac:dyDescent="0.2">
      <c r="A591" s="1"/>
      <c r="K591" s="27"/>
      <c r="M591" s="27"/>
      <c r="N591" s="27"/>
      <c r="O591" s="27"/>
    </row>
    <row r="592" spans="1:15" ht="12.75" x14ac:dyDescent="0.2">
      <c r="A592" s="1"/>
      <c r="K592" s="27"/>
      <c r="M592" s="27"/>
      <c r="N592" s="27"/>
      <c r="O592" s="27"/>
    </row>
    <row r="593" spans="1:15" ht="12.75" x14ac:dyDescent="0.2">
      <c r="A593" s="1"/>
      <c r="K593" s="27"/>
      <c r="M593" s="27"/>
      <c r="N593" s="27"/>
      <c r="O593" s="27"/>
    </row>
    <row r="594" spans="1:15" ht="12.75" x14ac:dyDescent="0.2">
      <c r="A594" s="1"/>
      <c r="K594" s="27"/>
      <c r="M594" s="27"/>
      <c r="N594" s="27"/>
      <c r="O594" s="27"/>
    </row>
    <row r="595" spans="1:15" ht="12.75" x14ac:dyDescent="0.2">
      <c r="A595" s="1"/>
      <c r="K595" s="27"/>
      <c r="M595" s="27"/>
      <c r="N595" s="27"/>
      <c r="O595" s="27"/>
    </row>
    <row r="596" spans="1:15" ht="12.75" x14ac:dyDescent="0.2">
      <c r="A596" s="1"/>
      <c r="K596" s="27"/>
      <c r="M596" s="27"/>
      <c r="N596" s="27"/>
      <c r="O596" s="27"/>
    </row>
    <row r="597" spans="1:15" ht="12.75" x14ac:dyDescent="0.2">
      <c r="A597" s="1"/>
      <c r="K597" s="27"/>
      <c r="M597" s="27"/>
      <c r="N597" s="27"/>
      <c r="O597" s="27"/>
    </row>
    <row r="598" spans="1:15" ht="12.75" x14ac:dyDescent="0.2">
      <c r="A598" s="1"/>
      <c r="K598" s="27"/>
      <c r="M598" s="27"/>
      <c r="N598" s="27"/>
      <c r="O598" s="27"/>
    </row>
    <row r="599" spans="1:15" ht="12.75" x14ac:dyDescent="0.2">
      <c r="A599" s="1"/>
      <c r="K599" s="27"/>
      <c r="M599" s="27"/>
      <c r="N599" s="27"/>
      <c r="O599" s="27"/>
    </row>
    <row r="600" spans="1:15" ht="12.75" x14ac:dyDescent="0.2">
      <c r="A600" s="1"/>
      <c r="K600" s="27"/>
      <c r="M600" s="27"/>
      <c r="N600" s="27"/>
      <c r="O600" s="27"/>
    </row>
    <row r="601" spans="1:15" ht="12.75" x14ac:dyDescent="0.2">
      <c r="A601" s="1"/>
      <c r="K601" s="27"/>
      <c r="M601" s="27"/>
      <c r="N601" s="27"/>
      <c r="O601" s="27"/>
    </row>
    <row r="602" spans="1:15" ht="12.75" x14ac:dyDescent="0.2">
      <c r="A602" s="1"/>
      <c r="K602" s="27"/>
      <c r="M602" s="27"/>
      <c r="N602" s="27"/>
      <c r="O602" s="27"/>
    </row>
    <row r="603" spans="1:15" ht="12.75" x14ac:dyDescent="0.2">
      <c r="A603" s="1"/>
      <c r="K603" s="27"/>
      <c r="M603" s="27"/>
      <c r="N603" s="27"/>
      <c r="O603" s="27"/>
    </row>
    <row r="604" spans="1:15" ht="12.75" x14ac:dyDescent="0.2">
      <c r="A604" s="1"/>
      <c r="K604" s="27"/>
      <c r="M604" s="27"/>
      <c r="N604" s="27"/>
      <c r="O604" s="27"/>
    </row>
    <row r="605" spans="1:15" ht="12.75" x14ac:dyDescent="0.2">
      <c r="A605" s="1"/>
      <c r="K605" s="27"/>
      <c r="M605" s="27"/>
      <c r="N605" s="27"/>
      <c r="O605" s="27"/>
    </row>
    <row r="606" spans="1:15" ht="12.75" x14ac:dyDescent="0.2">
      <c r="A606" s="1"/>
      <c r="K606" s="27"/>
      <c r="M606" s="27"/>
      <c r="N606" s="27"/>
      <c r="O606" s="27"/>
    </row>
    <row r="607" spans="1:15" ht="12.75" x14ac:dyDescent="0.2">
      <c r="A607" s="1"/>
      <c r="K607" s="27"/>
      <c r="M607" s="27"/>
      <c r="N607" s="27"/>
      <c r="O607" s="27"/>
    </row>
    <row r="608" spans="1:15" ht="12.75" x14ac:dyDescent="0.2">
      <c r="A608" s="1"/>
      <c r="K608" s="27"/>
      <c r="M608" s="27"/>
      <c r="N608" s="27"/>
      <c r="O608" s="27"/>
    </row>
    <row r="609" spans="1:15" ht="12.75" x14ac:dyDescent="0.2">
      <c r="A609" s="1"/>
      <c r="K609" s="27"/>
      <c r="M609" s="27"/>
      <c r="N609" s="27"/>
      <c r="O609" s="27"/>
    </row>
    <row r="610" spans="1:15" ht="12.75" x14ac:dyDescent="0.2">
      <c r="A610" s="1"/>
      <c r="K610" s="27"/>
      <c r="M610" s="27"/>
      <c r="N610" s="27"/>
      <c r="O610" s="27"/>
    </row>
    <row r="611" spans="1:15" ht="12.75" x14ac:dyDescent="0.2">
      <c r="A611" s="1"/>
      <c r="K611" s="27"/>
      <c r="M611" s="27"/>
      <c r="N611" s="27"/>
      <c r="O611" s="27"/>
    </row>
    <row r="612" spans="1:15" ht="12.75" x14ac:dyDescent="0.2">
      <c r="A612" s="1"/>
      <c r="K612" s="27"/>
      <c r="M612" s="27"/>
      <c r="N612" s="27"/>
      <c r="O612" s="27"/>
    </row>
    <row r="613" spans="1:15" ht="12.75" x14ac:dyDescent="0.2">
      <c r="A613" s="1"/>
      <c r="K613" s="27"/>
      <c r="M613" s="27"/>
      <c r="N613" s="27"/>
      <c r="O613" s="27"/>
    </row>
    <row r="614" spans="1:15" ht="12.75" x14ac:dyDescent="0.2">
      <c r="A614" s="1"/>
      <c r="K614" s="27"/>
      <c r="M614" s="27"/>
      <c r="N614" s="27"/>
      <c r="O614" s="27"/>
    </row>
    <row r="615" spans="1:15" ht="12.75" x14ac:dyDescent="0.2">
      <c r="A615" s="1"/>
      <c r="K615" s="27"/>
      <c r="M615" s="27"/>
      <c r="N615" s="27"/>
      <c r="O615" s="27"/>
    </row>
    <row r="616" spans="1:15" ht="12.75" x14ac:dyDescent="0.2">
      <c r="A616" s="1"/>
      <c r="K616" s="27"/>
      <c r="M616" s="27"/>
      <c r="N616" s="27"/>
      <c r="O616" s="27"/>
    </row>
    <row r="617" spans="1:15" ht="12.75" x14ac:dyDescent="0.2">
      <c r="A617" s="1"/>
      <c r="K617" s="27"/>
      <c r="M617" s="27"/>
      <c r="N617" s="27"/>
      <c r="O617" s="27"/>
    </row>
    <row r="618" spans="1:15" ht="12.75" x14ac:dyDescent="0.2">
      <c r="A618" s="1"/>
      <c r="K618" s="27"/>
      <c r="M618" s="27"/>
      <c r="N618" s="27"/>
      <c r="O618" s="27"/>
    </row>
    <row r="619" spans="1:15" ht="12.75" x14ac:dyDescent="0.2">
      <c r="A619" s="1"/>
      <c r="K619" s="27"/>
      <c r="M619" s="27"/>
      <c r="N619" s="27"/>
      <c r="O619" s="27"/>
    </row>
    <row r="620" spans="1:15" ht="12.75" x14ac:dyDescent="0.2">
      <c r="A620" s="1"/>
      <c r="K620" s="27"/>
      <c r="M620" s="27"/>
      <c r="N620" s="27"/>
      <c r="O620" s="27"/>
    </row>
    <row r="621" spans="1:15" ht="12.75" x14ac:dyDescent="0.2">
      <c r="A621" s="1"/>
      <c r="K621" s="27"/>
      <c r="M621" s="27"/>
      <c r="N621" s="27"/>
      <c r="O621" s="27"/>
    </row>
    <row r="622" spans="1:15" ht="12.75" x14ac:dyDescent="0.2">
      <c r="A622" s="1"/>
      <c r="K622" s="27"/>
      <c r="M622" s="27"/>
      <c r="N622" s="27"/>
      <c r="O622" s="27"/>
    </row>
    <row r="623" spans="1:15" ht="12.75" x14ac:dyDescent="0.2">
      <c r="A623" s="1"/>
      <c r="K623" s="27"/>
      <c r="M623" s="27"/>
      <c r="N623" s="27"/>
      <c r="O623" s="27"/>
    </row>
    <row r="624" spans="1:15" ht="12.75" x14ac:dyDescent="0.2">
      <c r="A624" s="1"/>
      <c r="K624" s="27"/>
      <c r="M624" s="27"/>
      <c r="N624" s="27"/>
      <c r="O624" s="27"/>
    </row>
    <row r="625" spans="1:15" ht="12.75" x14ac:dyDescent="0.2">
      <c r="A625" s="1"/>
      <c r="K625" s="27"/>
      <c r="M625" s="27"/>
      <c r="N625" s="27"/>
      <c r="O625" s="27"/>
    </row>
    <row r="626" spans="1:15" ht="12.75" x14ac:dyDescent="0.2">
      <c r="A626" s="1"/>
      <c r="K626" s="27"/>
      <c r="M626" s="27"/>
      <c r="N626" s="27"/>
      <c r="O626" s="27"/>
    </row>
    <row r="627" spans="1:15" ht="12.75" x14ac:dyDescent="0.2">
      <c r="A627" s="1"/>
      <c r="K627" s="27"/>
      <c r="M627" s="27"/>
      <c r="N627" s="27"/>
      <c r="O627" s="27"/>
    </row>
    <row r="628" spans="1:15" ht="12.75" x14ac:dyDescent="0.2">
      <c r="A628" s="1"/>
      <c r="K628" s="27"/>
      <c r="M628" s="27"/>
      <c r="N628" s="27"/>
      <c r="O628" s="27"/>
    </row>
    <row r="629" spans="1:15" ht="12.75" x14ac:dyDescent="0.2">
      <c r="A629" s="1"/>
      <c r="K629" s="27"/>
      <c r="M629" s="27"/>
      <c r="N629" s="27"/>
      <c r="O629" s="27"/>
    </row>
    <row r="630" spans="1:15" ht="12.75" x14ac:dyDescent="0.2">
      <c r="A630" s="1"/>
      <c r="K630" s="27"/>
      <c r="M630" s="27"/>
      <c r="N630" s="27"/>
      <c r="O630" s="27"/>
    </row>
    <row r="631" spans="1:15" ht="12.75" x14ac:dyDescent="0.2">
      <c r="A631" s="1"/>
      <c r="K631" s="27"/>
      <c r="M631" s="27"/>
      <c r="N631" s="27"/>
      <c r="O631" s="27"/>
    </row>
    <row r="632" spans="1:15" ht="12.75" x14ac:dyDescent="0.2">
      <c r="A632" s="1"/>
      <c r="K632" s="27"/>
      <c r="M632" s="27"/>
      <c r="N632" s="27"/>
      <c r="O632" s="27"/>
    </row>
    <row r="633" spans="1:15" ht="12.75" x14ac:dyDescent="0.2">
      <c r="A633" s="1"/>
      <c r="K633" s="27"/>
      <c r="M633" s="27"/>
      <c r="N633" s="27"/>
      <c r="O633" s="27"/>
    </row>
    <row r="634" spans="1:15" ht="12.75" x14ac:dyDescent="0.2">
      <c r="A634" s="1"/>
      <c r="K634" s="27"/>
      <c r="M634" s="27"/>
      <c r="N634" s="27"/>
      <c r="O634" s="27"/>
    </row>
    <row r="635" spans="1:15" ht="12.75" x14ac:dyDescent="0.2">
      <c r="A635" s="1"/>
      <c r="K635" s="27"/>
      <c r="M635" s="27"/>
      <c r="N635" s="27"/>
      <c r="O635" s="27"/>
    </row>
    <row r="636" spans="1:15" ht="12.75" x14ac:dyDescent="0.2">
      <c r="A636" s="1"/>
      <c r="K636" s="27"/>
      <c r="M636" s="27"/>
      <c r="N636" s="27"/>
      <c r="O636" s="27"/>
    </row>
    <row r="637" spans="1:15" ht="12.75" x14ac:dyDescent="0.2">
      <c r="A637" s="1"/>
      <c r="K637" s="27"/>
      <c r="M637" s="27"/>
      <c r="N637" s="27"/>
      <c r="O637" s="27"/>
    </row>
    <row r="638" spans="1:15" ht="12.75" x14ac:dyDescent="0.2">
      <c r="A638" s="1"/>
      <c r="K638" s="27"/>
      <c r="M638" s="27"/>
      <c r="N638" s="27"/>
      <c r="O638" s="27"/>
    </row>
    <row r="639" spans="1:15" ht="12.75" x14ac:dyDescent="0.2">
      <c r="A639" s="1"/>
      <c r="K639" s="27"/>
      <c r="M639" s="27"/>
      <c r="N639" s="27"/>
      <c r="O639" s="27"/>
    </row>
    <row r="640" spans="1:15" ht="12.75" x14ac:dyDescent="0.2">
      <c r="A640" s="1"/>
      <c r="K640" s="27"/>
      <c r="M640" s="27"/>
      <c r="N640" s="27"/>
      <c r="O640" s="27"/>
    </row>
    <row r="641" spans="1:15" ht="12.75" x14ac:dyDescent="0.2">
      <c r="A641" s="1"/>
      <c r="K641" s="27"/>
      <c r="M641" s="27"/>
      <c r="N641" s="27"/>
      <c r="O641" s="27"/>
    </row>
    <row r="642" spans="1:15" ht="12.75" x14ac:dyDescent="0.2">
      <c r="A642" s="1"/>
      <c r="K642" s="27"/>
      <c r="M642" s="27"/>
      <c r="N642" s="27"/>
      <c r="O642" s="27"/>
    </row>
    <row r="643" spans="1:15" ht="12.75" x14ac:dyDescent="0.2">
      <c r="A643" s="1"/>
      <c r="K643" s="27"/>
      <c r="M643" s="27"/>
      <c r="N643" s="27"/>
      <c r="O643" s="27"/>
    </row>
    <row r="644" spans="1:15" ht="12.75" x14ac:dyDescent="0.2">
      <c r="A644" s="1"/>
      <c r="K644" s="27"/>
      <c r="M644" s="27"/>
      <c r="N644" s="27"/>
      <c r="O644" s="27"/>
    </row>
    <row r="645" spans="1:15" ht="12.75" x14ac:dyDescent="0.2">
      <c r="A645" s="1"/>
      <c r="K645" s="27"/>
      <c r="M645" s="27"/>
      <c r="N645" s="27"/>
      <c r="O645" s="27"/>
    </row>
    <row r="646" spans="1:15" ht="12.75" x14ac:dyDescent="0.2">
      <c r="A646" s="1"/>
      <c r="K646" s="27"/>
      <c r="M646" s="27"/>
      <c r="N646" s="27"/>
      <c r="O646" s="27"/>
    </row>
    <row r="647" spans="1:15" ht="12.75" x14ac:dyDescent="0.2">
      <c r="A647" s="1"/>
      <c r="K647" s="27"/>
      <c r="M647" s="27"/>
      <c r="N647" s="27"/>
      <c r="O647" s="27"/>
    </row>
    <row r="648" spans="1:15" ht="12.75" x14ac:dyDescent="0.2">
      <c r="A648" s="1"/>
      <c r="K648" s="27"/>
      <c r="M648" s="27"/>
      <c r="N648" s="27"/>
      <c r="O648" s="27"/>
    </row>
    <row r="649" spans="1:15" ht="12.75" x14ac:dyDescent="0.2">
      <c r="A649" s="1"/>
      <c r="K649" s="27"/>
      <c r="M649" s="27"/>
      <c r="N649" s="27"/>
      <c r="O649" s="27"/>
    </row>
    <row r="650" spans="1:15" ht="12.75" x14ac:dyDescent="0.2">
      <c r="A650" s="1"/>
      <c r="K650" s="27"/>
      <c r="M650" s="27"/>
      <c r="N650" s="27"/>
      <c r="O650" s="27"/>
    </row>
    <row r="651" spans="1:15" ht="12.75" x14ac:dyDescent="0.2">
      <c r="A651" s="1"/>
      <c r="K651" s="27"/>
      <c r="M651" s="27"/>
      <c r="N651" s="27"/>
      <c r="O651" s="27"/>
    </row>
    <row r="652" spans="1:15" ht="12.75" x14ac:dyDescent="0.2">
      <c r="A652" s="1"/>
      <c r="K652" s="27"/>
      <c r="M652" s="27"/>
      <c r="N652" s="27"/>
      <c r="O652" s="27"/>
    </row>
    <row r="653" spans="1:15" ht="12.75" x14ac:dyDescent="0.2">
      <c r="A653" s="1"/>
      <c r="K653" s="27"/>
      <c r="M653" s="27"/>
      <c r="N653" s="27"/>
      <c r="O653" s="27"/>
    </row>
    <row r="654" spans="1:15" ht="12.75" x14ac:dyDescent="0.2">
      <c r="A654" s="1"/>
      <c r="K654" s="27"/>
      <c r="M654" s="27"/>
      <c r="N654" s="27"/>
      <c r="O654" s="27"/>
    </row>
    <row r="655" spans="1:15" ht="12.75" x14ac:dyDescent="0.2">
      <c r="A655" s="1"/>
      <c r="K655" s="27"/>
      <c r="M655" s="27"/>
      <c r="N655" s="27"/>
      <c r="O655" s="27"/>
    </row>
    <row r="656" spans="1:15" ht="12.75" x14ac:dyDescent="0.2">
      <c r="A656" s="1"/>
      <c r="K656" s="27"/>
      <c r="M656" s="27"/>
      <c r="N656" s="27"/>
      <c r="O656" s="27"/>
    </row>
    <row r="657" spans="1:15" ht="12.75" x14ac:dyDescent="0.2">
      <c r="A657" s="1"/>
      <c r="K657" s="27"/>
      <c r="M657" s="27"/>
      <c r="N657" s="27"/>
      <c r="O657" s="27"/>
    </row>
    <row r="658" spans="1:15" ht="12.75" x14ac:dyDescent="0.2">
      <c r="A658" s="1"/>
      <c r="K658" s="27"/>
      <c r="M658" s="27"/>
      <c r="N658" s="27"/>
      <c r="O658" s="27"/>
    </row>
    <row r="659" spans="1:15" ht="12.75" x14ac:dyDescent="0.2">
      <c r="A659" s="1"/>
      <c r="K659" s="27"/>
      <c r="M659" s="27"/>
      <c r="N659" s="27"/>
      <c r="O659" s="27"/>
    </row>
    <row r="660" spans="1:15" ht="12.75" x14ac:dyDescent="0.2">
      <c r="A660" s="1"/>
      <c r="K660" s="27"/>
      <c r="M660" s="27"/>
      <c r="N660" s="27"/>
      <c r="O660" s="27"/>
    </row>
    <row r="661" spans="1:15" ht="12.75" x14ac:dyDescent="0.2">
      <c r="A661" s="1"/>
      <c r="K661" s="27"/>
      <c r="M661" s="27"/>
      <c r="N661" s="27"/>
      <c r="O661" s="27"/>
    </row>
    <row r="662" spans="1:15" ht="12.75" x14ac:dyDescent="0.2">
      <c r="A662" s="1"/>
      <c r="K662" s="27"/>
      <c r="M662" s="27"/>
      <c r="N662" s="27"/>
      <c r="O662" s="27"/>
    </row>
    <row r="663" spans="1:15" ht="12.75" x14ac:dyDescent="0.2">
      <c r="A663" s="1"/>
      <c r="K663" s="27"/>
      <c r="M663" s="27"/>
      <c r="N663" s="27"/>
      <c r="O663" s="27"/>
    </row>
    <row r="664" spans="1:15" ht="12.75" x14ac:dyDescent="0.2">
      <c r="A664" s="1"/>
      <c r="K664" s="27"/>
      <c r="M664" s="27"/>
      <c r="N664" s="27"/>
      <c r="O664" s="27"/>
    </row>
    <row r="665" spans="1:15" ht="12.75" x14ac:dyDescent="0.2">
      <c r="A665" s="1"/>
      <c r="K665" s="27"/>
      <c r="M665" s="27"/>
      <c r="N665" s="27"/>
      <c r="O665" s="27"/>
    </row>
    <row r="666" spans="1:15" ht="12.75" x14ac:dyDescent="0.2">
      <c r="A666" s="1"/>
      <c r="K666" s="27"/>
      <c r="M666" s="27"/>
      <c r="N666" s="27"/>
      <c r="O666" s="27"/>
    </row>
    <row r="667" spans="1:15" ht="12.75" x14ac:dyDescent="0.2">
      <c r="A667" s="1"/>
      <c r="K667" s="27"/>
      <c r="M667" s="27"/>
      <c r="N667" s="27"/>
      <c r="O667" s="27"/>
    </row>
    <row r="668" spans="1:15" ht="12.75" x14ac:dyDescent="0.2">
      <c r="A668" s="1"/>
      <c r="K668" s="27"/>
      <c r="M668" s="27"/>
      <c r="N668" s="27"/>
      <c r="O668" s="27"/>
    </row>
    <row r="669" spans="1:15" ht="12.75" x14ac:dyDescent="0.2">
      <c r="A669" s="1"/>
      <c r="K669" s="27"/>
      <c r="M669" s="27"/>
      <c r="N669" s="27"/>
      <c r="O669" s="27"/>
    </row>
    <row r="670" spans="1:15" ht="12.75" x14ac:dyDescent="0.2">
      <c r="A670" s="1"/>
      <c r="K670" s="27"/>
      <c r="M670" s="27"/>
      <c r="N670" s="27"/>
      <c r="O670" s="27"/>
    </row>
    <row r="671" spans="1:15" ht="12.75" x14ac:dyDescent="0.2">
      <c r="A671" s="1"/>
      <c r="K671" s="27"/>
      <c r="M671" s="27"/>
      <c r="N671" s="27"/>
      <c r="O671" s="27"/>
    </row>
    <row r="672" spans="1:15" ht="12.75" x14ac:dyDescent="0.2">
      <c r="A672" s="1"/>
      <c r="K672" s="27"/>
      <c r="M672" s="27"/>
      <c r="N672" s="27"/>
      <c r="O672" s="27"/>
    </row>
    <row r="673" spans="1:15" ht="12.75" x14ac:dyDescent="0.2">
      <c r="A673" s="1"/>
      <c r="K673" s="27"/>
      <c r="M673" s="27"/>
      <c r="N673" s="27"/>
      <c r="O673" s="27"/>
    </row>
    <row r="674" spans="1:15" ht="12.75" x14ac:dyDescent="0.2">
      <c r="A674" s="1"/>
      <c r="K674" s="27"/>
      <c r="M674" s="27"/>
      <c r="N674" s="27"/>
      <c r="O674" s="27"/>
    </row>
    <row r="675" spans="1:15" ht="12.75" x14ac:dyDescent="0.2">
      <c r="A675" s="1"/>
      <c r="K675" s="27"/>
      <c r="M675" s="27"/>
      <c r="N675" s="27"/>
      <c r="O675" s="27"/>
    </row>
    <row r="676" spans="1:15" ht="12.75" x14ac:dyDescent="0.2">
      <c r="A676" s="1"/>
      <c r="K676" s="27"/>
      <c r="M676" s="27"/>
      <c r="N676" s="27"/>
      <c r="O676" s="27"/>
    </row>
    <row r="677" spans="1:15" ht="12.75" x14ac:dyDescent="0.2">
      <c r="A677" s="1"/>
      <c r="K677" s="27"/>
      <c r="M677" s="27"/>
      <c r="N677" s="27"/>
      <c r="O677" s="27"/>
    </row>
    <row r="678" spans="1:15" ht="12.75" x14ac:dyDescent="0.2">
      <c r="A678" s="1"/>
      <c r="K678" s="27"/>
      <c r="M678" s="27"/>
      <c r="N678" s="27"/>
      <c r="O678" s="27"/>
    </row>
    <row r="679" spans="1:15" ht="12.75" x14ac:dyDescent="0.2">
      <c r="A679" s="1"/>
      <c r="K679" s="27"/>
      <c r="M679" s="27"/>
      <c r="N679" s="27"/>
      <c r="O679" s="27"/>
    </row>
    <row r="680" spans="1:15" ht="12.75" x14ac:dyDescent="0.2">
      <c r="A680" s="1"/>
      <c r="K680" s="27"/>
      <c r="M680" s="27"/>
      <c r="N680" s="27"/>
      <c r="O680" s="27"/>
    </row>
    <row r="681" spans="1:15" ht="12.75" x14ac:dyDescent="0.2">
      <c r="A681" s="1"/>
      <c r="K681" s="27"/>
      <c r="M681" s="27"/>
      <c r="N681" s="27"/>
      <c r="O681" s="27"/>
    </row>
    <row r="682" spans="1:15" ht="12.75" x14ac:dyDescent="0.2">
      <c r="A682" s="1"/>
      <c r="K682" s="27"/>
      <c r="M682" s="27"/>
      <c r="N682" s="27"/>
      <c r="O682" s="27"/>
    </row>
    <row r="683" spans="1:15" ht="12.75" x14ac:dyDescent="0.2">
      <c r="A683" s="1"/>
      <c r="K683" s="27"/>
      <c r="M683" s="27"/>
      <c r="N683" s="27"/>
      <c r="O683" s="27"/>
    </row>
    <row r="684" spans="1:15" ht="12.75" x14ac:dyDescent="0.2">
      <c r="A684" s="1"/>
      <c r="K684" s="27"/>
      <c r="M684" s="27"/>
      <c r="N684" s="27"/>
      <c r="O684" s="27"/>
    </row>
    <row r="685" spans="1:15" ht="12.75" x14ac:dyDescent="0.2">
      <c r="A685" s="1"/>
      <c r="K685" s="27"/>
      <c r="M685" s="27"/>
      <c r="N685" s="27"/>
      <c r="O685" s="27"/>
    </row>
    <row r="686" spans="1:15" ht="12.75" x14ac:dyDescent="0.2">
      <c r="A686" s="1"/>
      <c r="K686" s="27"/>
      <c r="M686" s="27"/>
      <c r="N686" s="27"/>
      <c r="O686" s="27"/>
    </row>
    <row r="687" spans="1:15" ht="12.75" x14ac:dyDescent="0.2">
      <c r="A687" s="1"/>
      <c r="K687" s="27"/>
      <c r="M687" s="27"/>
      <c r="N687" s="27"/>
      <c r="O687" s="27"/>
    </row>
    <row r="688" spans="1:15" ht="12.75" x14ac:dyDescent="0.2">
      <c r="A688" s="1"/>
      <c r="K688" s="27"/>
      <c r="M688" s="27"/>
      <c r="N688" s="27"/>
      <c r="O688" s="27"/>
    </row>
    <row r="689" spans="1:15" ht="12.75" x14ac:dyDescent="0.2">
      <c r="A689" s="1"/>
      <c r="K689" s="27"/>
      <c r="M689" s="27"/>
      <c r="N689" s="27"/>
      <c r="O689" s="27"/>
    </row>
    <row r="690" spans="1:15" ht="12.75" x14ac:dyDescent="0.2">
      <c r="A690" s="1"/>
      <c r="K690" s="27"/>
      <c r="M690" s="27"/>
      <c r="N690" s="27"/>
      <c r="O690" s="27"/>
    </row>
    <row r="691" spans="1:15" ht="12.75" x14ac:dyDescent="0.2">
      <c r="A691" s="1"/>
      <c r="K691" s="27"/>
      <c r="M691" s="27"/>
      <c r="N691" s="27"/>
      <c r="O691" s="27"/>
    </row>
    <row r="692" spans="1:15" ht="12.75" x14ac:dyDescent="0.2">
      <c r="A692" s="1"/>
      <c r="K692" s="27"/>
      <c r="M692" s="27"/>
      <c r="N692" s="27"/>
      <c r="O692" s="27"/>
    </row>
    <row r="693" spans="1:15" ht="12.75" x14ac:dyDescent="0.2">
      <c r="A693" s="1"/>
      <c r="K693" s="27"/>
      <c r="M693" s="27"/>
      <c r="N693" s="27"/>
      <c r="O693" s="27"/>
    </row>
    <row r="694" spans="1:15" ht="12.75" x14ac:dyDescent="0.2">
      <c r="A694" s="1"/>
      <c r="K694" s="27"/>
      <c r="M694" s="27"/>
      <c r="N694" s="27"/>
      <c r="O694" s="27"/>
    </row>
    <row r="695" spans="1:15" ht="12.75" x14ac:dyDescent="0.2">
      <c r="A695" s="1"/>
      <c r="K695" s="27"/>
      <c r="M695" s="27"/>
      <c r="N695" s="27"/>
      <c r="O695" s="27"/>
    </row>
    <row r="696" spans="1:15" ht="12.75" x14ac:dyDescent="0.2">
      <c r="A696" s="1"/>
      <c r="K696" s="27"/>
      <c r="M696" s="27"/>
      <c r="N696" s="27"/>
      <c r="O696" s="27"/>
    </row>
    <row r="697" spans="1:15" ht="12.75" x14ac:dyDescent="0.2">
      <c r="A697" s="1"/>
      <c r="K697" s="27"/>
      <c r="M697" s="27"/>
      <c r="N697" s="27"/>
      <c r="O697" s="27"/>
    </row>
    <row r="698" spans="1:15" ht="12.75" x14ac:dyDescent="0.2">
      <c r="A698" s="1"/>
      <c r="K698" s="27"/>
      <c r="M698" s="27"/>
      <c r="N698" s="27"/>
      <c r="O698" s="27"/>
    </row>
    <row r="699" spans="1:15" ht="12.75" x14ac:dyDescent="0.2">
      <c r="A699" s="1"/>
      <c r="K699" s="27"/>
      <c r="M699" s="27"/>
      <c r="N699" s="27"/>
      <c r="O699" s="27"/>
    </row>
    <row r="700" spans="1:15" ht="12.75" x14ac:dyDescent="0.2">
      <c r="A700" s="1"/>
      <c r="K700" s="27"/>
      <c r="M700" s="27"/>
      <c r="N700" s="27"/>
      <c r="O700" s="27"/>
    </row>
    <row r="701" spans="1:15" ht="12.75" x14ac:dyDescent="0.2">
      <c r="A701" s="1"/>
      <c r="K701" s="27"/>
      <c r="M701" s="27"/>
      <c r="N701" s="27"/>
      <c r="O701" s="27"/>
    </row>
    <row r="702" spans="1:15" ht="12.75" x14ac:dyDescent="0.2">
      <c r="A702" s="1"/>
      <c r="K702" s="27"/>
      <c r="M702" s="27"/>
      <c r="N702" s="27"/>
      <c r="O702" s="27"/>
    </row>
    <row r="703" spans="1:15" ht="12.75" x14ac:dyDescent="0.2">
      <c r="A703" s="1"/>
      <c r="K703" s="27"/>
      <c r="M703" s="27"/>
      <c r="N703" s="27"/>
      <c r="O703" s="27"/>
    </row>
    <row r="704" spans="1:15" ht="12.75" x14ac:dyDescent="0.2">
      <c r="A704" s="1"/>
      <c r="K704" s="27"/>
      <c r="M704" s="27"/>
      <c r="N704" s="27"/>
      <c r="O704" s="27"/>
    </row>
    <row r="705" spans="1:15" ht="12.75" x14ac:dyDescent="0.2">
      <c r="A705" s="1"/>
      <c r="K705" s="27"/>
      <c r="M705" s="27"/>
      <c r="N705" s="27"/>
      <c r="O705" s="27"/>
    </row>
    <row r="706" spans="1:15" ht="12.75" x14ac:dyDescent="0.2">
      <c r="A706" s="1"/>
      <c r="K706" s="27"/>
      <c r="M706" s="27"/>
      <c r="N706" s="27"/>
      <c r="O706" s="27"/>
    </row>
    <row r="707" spans="1:15" ht="12.75" x14ac:dyDescent="0.2">
      <c r="A707" s="1"/>
      <c r="K707" s="27"/>
      <c r="M707" s="27"/>
      <c r="N707" s="27"/>
      <c r="O707" s="27"/>
    </row>
    <row r="708" spans="1:15" ht="12.75" x14ac:dyDescent="0.2">
      <c r="A708" s="1"/>
      <c r="K708" s="27"/>
      <c r="M708" s="27"/>
      <c r="N708" s="27"/>
      <c r="O708" s="27"/>
    </row>
    <row r="709" spans="1:15" ht="12.75" x14ac:dyDescent="0.2">
      <c r="A709" s="1"/>
      <c r="K709" s="27"/>
      <c r="M709" s="27"/>
      <c r="N709" s="27"/>
      <c r="O709" s="27"/>
    </row>
    <row r="710" spans="1:15" ht="12.75" x14ac:dyDescent="0.2">
      <c r="A710" s="1"/>
      <c r="K710" s="27"/>
      <c r="M710" s="27"/>
      <c r="N710" s="27"/>
      <c r="O710" s="27"/>
    </row>
    <row r="711" spans="1:15" ht="12.75" x14ac:dyDescent="0.2">
      <c r="A711" s="1"/>
      <c r="K711" s="27"/>
      <c r="M711" s="27"/>
      <c r="N711" s="27"/>
      <c r="O711" s="27"/>
    </row>
    <row r="712" spans="1:15" ht="12.75" x14ac:dyDescent="0.2">
      <c r="A712" s="1"/>
      <c r="K712" s="27"/>
      <c r="M712" s="27"/>
      <c r="N712" s="27"/>
      <c r="O712" s="27"/>
    </row>
    <row r="713" spans="1:15" ht="12.75" x14ac:dyDescent="0.2">
      <c r="A713" s="1"/>
      <c r="K713" s="27"/>
      <c r="M713" s="27"/>
      <c r="N713" s="27"/>
      <c r="O713" s="27"/>
    </row>
    <row r="714" spans="1:15" ht="12.75" x14ac:dyDescent="0.2">
      <c r="A714" s="1"/>
      <c r="K714" s="27"/>
      <c r="M714" s="27"/>
      <c r="N714" s="27"/>
      <c r="O714" s="27"/>
    </row>
    <row r="715" spans="1:15" ht="12.75" x14ac:dyDescent="0.2">
      <c r="A715" s="1"/>
      <c r="K715" s="27"/>
      <c r="M715" s="27"/>
      <c r="N715" s="27"/>
      <c r="O715" s="27"/>
    </row>
    <row r="716" spans="1:15" ht="12.75" x14ac:dyDescent="0.2">
      <c r="A716" s="1"/>
      <c r="K716" s="27"/>
      <c r="M716" s="27"/>
      <c r="N716" s="27"/>
      <c r="O716" s="27"/>
    </row>
    <row r="717" spans="1:15" ht="12.75" x14ac:dyDescent="0.2">
      <c r="A717" s="1"/>
      <c r="K717" s="27"/>
      <c r="M717" s="27"/>
      <c r="N717" s="27"/>
      <c r="O717" s="27"/>
    </row>
    <row r="718" spans="1:15" ht="12.75" x14ac:dyDescent="0.2">
      <c r="A718" s="1"/>
      <c r="K718" s="27"/>
      <c r="M718" s="27"/>
      <c r="N718" s="27"/>
      <c r="O718" s="27"/>
    </row>
    <row r="719" spans="1:15" ht="12.75" x14ac:dyDescent="0.2">
      <c r="A719" s="1"/>
      <c r="K719" s="27"/>
      <c r="M719" s="27"/>
      <c r="N719" s="27"/>
      <c r="O719" s="27"/>
    </row>
    <row r="720" spans="1:15" ht="12.75" x14ac:dyDescent="0.2">
      <c r="A720" s="1"/>
      <c r="K720" s="27"/>
      <c r="M720" s="27"/>
      <c r="N720" s="27"/>
      <c r="O720" s="27"/>
    </row>
    <row r="721" spans="1:15" ht="12.75" x14ac:dyDescent="0.2">
      <c r="A721" s="1"/>
      <c r="K721" s="27"/>
      <c r="M721" s="27"/>
      <c r="N721" s="27"/>
      <c r="O721" s="27"/>
    </row>
    <row r="722" spans="1:15" ht="12.75" x14ac:dyDescent="0.2">
      <c r="A722" s="1"/>
      <c r="K722" s="27"/>
      <c r="M722" s="27"/>
      <c r="N722" s="27"/>
      <c r="O722" s="27"/>
    </row>
    <row r="723" spans="1:15" ht="12.75" x14ac:dyDescent="0.2">
      <c r="A723" s="1"/>
      <c r="K723" s="27"/>
      <c r="M723" s="27"/>
      <c r="N723" s="27"/>
      <c r="O723" s="27"/>
    </row>
    <row r="724" spans="1:15" ht="12.75" x14ac:dyDescent="0.2">
      <c r="A724" s="1"/>
      <c r="K724" s="27"/>
      <c r="M724" s="27"/>
      <c r="N724" s="27"/>
      <c r="O724" s="27"/>
    </row>
    <row r="725" spans="1:15" ht="12.75" x14ac:dyDescent="0.2">
      <c r="A725" s="1"/>
      <c r="K725" s="27"/>
      <c r="M725" s="27"/>
      <c r="N725" s="27"/>
      <c r="O725" s="27"/>
    </row>
    <row r="726" spans="1:15" ht="12.75" x14ac:dyDescent="0.2">
      <c r="A726" s="1"/>
      <c r="K726" s="27"/>
      <c r="M726" s="27"/>
      <c r="N726" s="27"/>
      <c r="O726" s="27"/>
    </row>
    <row r="727" spans="1:15" ht="12.75" x14ac:dyDescent="0.2">
      <c r="A727" s="1"/>
      <c r="K727" s="27"/>
      <c r="M727" s="27"/>
      <c r="N727" s="27"/>
      <c r="O727" s="27"/>
    </row>
    <row r="728" spans="1:15" ht="12.75" x14ac:dyDescent="0.2">
      <c r="A728" s="1"/>
      <c r="K728" s="27"/>
      <c r="M728" s="27"/>
      <c r="N728" s="27"/>
      <c r="O728" s="27"/>
    </row>
    <row r="729" spans="1:15" ht="12.75" x14ac:dyDescent="0.2">
      <c r="A729" s="1"/>
      <c r="K729" s="27"/>
      <c r="M729" s="27"/>
      <c r="N729" s="27"/>
      <c r="O729" s="27"/>
    </row>
    <row r="730" spans="1:15" ht="12.75" x14ac:dyDescent="0.2">
      <c r="A730" s="1"/>
      <c r="K730" s="27"/>
      <c r="M730" s="27"/>
      <c r="N730" s="27"/>
      <c r="O730" s="27"/>
    </row>
    <row r="731" spans="1:15" ht="12.75" x14ac:dyDescent="0.2">
      <c r="A731" s="1"/>
      <c r="K731" s="27"/>
      <c r="M731" s="27"/>
      <c r="N731" s="27"/>
      <c r="O731" s="27"/>
    </row>
    <row r="732" spans="1:15" ht="12.75" x14ac:dyDescent="0.2">
      <c r="A732" s="1"/>
      <c r="K732" s="27"/>
      <c r="M732" s="27"/>
      <c r="N732" s="27"/>
      <c r="O732" s="27"/>
    </row>
    <row r="733" spans="1:15" ht="12.75" x14ac:dyDescent="0.2">
      <c r="A733" s="1"/>
      <c r="K733" s="27"/>
      <c r="M733" s="27"/>
      <c r="N733" s="27"/>
      <c r="O733" s="27"/>
    </row>
    <row r="734" spans="1:15" ht="12.75" x14ac:dyDescent="0.2">
      <c r="A734" s="1"/>
      <c r="K734" s="27"/>
      <c r="M734" s="27"/>
      <c r="N734" s="27"/>
      <c r="O734" s="27"/>
    </row>
    <row r="735" spans="1:15" ht="12.75" x14ac:dyDescent="0.2">
      <c r="A735" s="1"/>
      <c r="K735" s="27"/>
      <c r="M735" s="27"/>
      <c r="N735" s="27"/>
      <c r="O735" s="27"/>
    </row>
    <row r="736" spans="1:15" ht="12.75" x14ac:dyDescent="0.2">
      <c r="A736" s="1"/>
      <c r="K736" s="27"/>
      <c r="M736" s="27"/>
      <c r="N736" s="27"/>
      <c r="O736" s="27"/>
    </row>
    <row r="737" spans="1:15" ht="12.75" x14ac:dyDescent="0.2">
      <c r="A737" s="1"/>
      <c r="K737" s="27"/>
      <c r="M737" s="27"/>
      <c r="N737" s="27"/>
      <c r="O737" s="27"/>
    </row>
    <row r="738" spans="1:15" ht="12.75" x14ac:dyDescent="0.2">
      <c r="A738" s="1"/>
      <c r="K738" s="27"/>
      <c r="M738" s="27"/>
      <c r="N738" s="27"/>
      <c r="O738" s="27"/>
    </row>
    <row r="739" spans="1:15" ht="12.75" x14ac:dyDescent="0.2">
      <c r="A739" s="1"/>
      <c r="K739" s="27"/>
      <c r="M739" s="27"/>
      <c r="N739" s="27"/>
      <c r="O739" s="27"/>
    </row>
    <row r="740" spans="1:15" ht="12.75" x14ac:dyDescent="0.2">
      <c r="A740" s="1"/>
      <c r="K740" s="27"/>
      <c r="M740" s="27"/>
      <c r="N740" s="27"/>
      <c r="O740" s="27"/>
    </row>
    <row r="741" spans="1:15" ht="12.75" x14ac:dyDescent="0.2">
      <c r="A741" s="1"/>
      <c r="K741" s="27"/>
      <c r="M741" s="27"/>
      <c r="N741" s="27"/>
      <c r="O741" s="27"/>
    </row>
    <row r="742" spans="1:15" ht="12.75" x14ac:dyDescent="0.2">
      <c r="A742" s="1"/>
      <c r="K742" s="27"/>
      <c r="M742" s="27"/>
      <c r="N742" s="27"/>
      <c r="O742" s="27"/>
    </row>
    <row r="743" spans="1:15" ht="12.75" x14ac:dyDescent="0.2">
      <c r="A743" s="1"/>
      <c r="K743" s="27"/>
      <c r="M743" s="27"/>
      <c r="N743" s="27"/>
      <c r="O743" s="27"/>
    </row>
    <row r="744" spans="1:15" ht="12.75" x14ac:dyDescent="0.2">
      <c r="A744" s="1"/>
      <c r="K744" s="27"/>
      <c r="M744" s="27"/>
      <c r="N744" s="27"/>
      <c r="O744" s="27"/>
    </row>
    <row r="745" spans="1:15" ht="12.75" x14ac:dyDescent="0.2">
      <c r="A745" s="1"/>
      <c r="K745" s="27"/>
      <c r="M745" s="27"/>
      <c r="N745" s="27"/>
      <c r="O745" s="27"/>
    </row>
    <row r="746" spans="1:15" ht="12.75" x14ac:dyDescent="0.2">
      <c r="A746" s="1"/>
      <c r="K746" s="27"/>
      <c r="M746" s="27"/>
      <c r="N746" s="27"/>
      <c r="O746" s="27"/>
    </row>
    <row r="747" spans="1:15" ht="12.75" x14ac:dyDescent="0.2">
      <c r="A747" s="1"/>
      <c r="K747" s="27"/>
      <c r="M747" s="27"/>
      <c r="N747" s="27"/>
      <c r="O747" s="27"/>
    </row>
    <row r="748" spans="1:15" ht="12.75" x14ac:dyDescent="0.2">
      <c r="A748" s="1"/>
      <c r="K748" s="27"/>
      <c r="M748" s="27"/>
      <c r="N748" s="27"/>
      <c r="O748" s="27"/>
    </row>
    <row r="749" spans="1:15" ht="12.75" x14ac:dyDescent="0.2">
      <c r="A749" s="1"/>
      <c r="K749" s="27"/>
      <c r="M749" s="27"/>
      <c r="N749" s="27"/>
      <c r="O749" s="27"/>
    </row>
    <row r="750" spans="1:15" ht="12.75" x14ac:dyDescent="0.2">
      <c r="A750" s="1"/>
      <c r="K750" s="27"/>
      <c r="M750" s="27"/>
      <c r="N750" s="27"/>
      <c r="O750" s="27"/>
    </row>
    <row r="751" spans="1:15" ht="12.75" x14ac:dyDescent="0.2">
      <c r="A751" s="1"/>
      <c r="K751" s="27"/>
      <c r="M751" s="27"/>
      <c r="N751" s="27"/>
      <c r="O751" s="27"/>
    </row>
    <row r="752" spans="1:15" ht="12.75" x14ac:dyDescent="0.2">
      <c r="A752" s="1"/>
      <c r="K752" s="27"/>
      <c r="M752" s="27"/>
      <c r="N752" s="27"/>
      <c r="O752" s="27"/>
    </row>
    <row r="753" spans="1:15" ht="12.75" x14ac:dyDescent="0.2">
      <c r="A753" s="1"/>
      <c r="K753" s="27"/>
      <c r="M753" s="27"/>
      <c r="N753" s="27"/>
      <c r="O753" s="27"/>
    </row>
    <row r="754" spans="1:15" ht="12.75" x14ac:dyDescent="0.2">
      <c r="A754" s="1"/>
      <c r="K754" s="27"/>
      <c r="M754" s="27"/>
      <c r="N754" s="27"/>
      <c r="O754" s="27"/>
    </row>
    <row r="755" spans="1:15" ht="12.75" x14ac:dyDescent="0.2">
      <c r="A755" s="1"/>
      <c r="K755" s="27"/>
      <c r="M755" s="27"/>
      <c r="N755" s="27"/>
      <c r="O755" s="27"/>
    </row>
    <row r="756" spans="1:15" ht="12.75" x14ac:dyDescent="0.2">
      <c r="A756" s="1"/>
      <c r="K756" s="27"/>
      <c r="M756" s="27"/>
      <c r="N756" s="27"/>
      <c r="O756" s="27"/>
    </row>
    <row r="757" spans="1:15" ht="12.75" x14ac:dyDescent="0.2">
      <c r="A757" s="1"/>
      <c r="K757" s="27"/>
      <c r="M757" s="27"/>
      <c r="N757" s="27"/>
      <c r="O757" s="27"/>
    </row>
    <row r="758" spans="1:15" ht="12.75" x14ac:dyDescent="0.2">
      <c r="A758" s="1"/>
      <c r="K758" s="27"/>
      <c r="M758" s="27"/>
      <c r="N758" s="27"/>
      <c r="O758" s="27"/>
    </row>
    <row r="759" spans="1:15" ht="12.75" x14ac:dyDescent="0.2">
      <c r="A759" s="1"/>
      <c r="K759" s="27"/>
      <c r="M759" s="27"/>
      <c r="N759" s="27"/>
      <c r="O759" s="27"/>
    </row>
    <row r="760" spans="1:15" ht="12.75" x14ac:dyDescent="0.2">
      <c r="A760" s="1"/>
      <c r="K760" s="27"/>
      <c r="M760" s="27"/>
      <c r="N760" s="27"/>
      <c r="O760" s="27"/>
    </row>
    <row r="761" spans="1:15" ht="12.75" x14ac:dyDescent="0.2">
      <c r="A761" s="1"/>
      <c r="K761" s="27"/>
      <c r="M761" s="27"/>
      <c r="N761" s="27"/>
      <c r="O761" s="27"/>
    </row>
    <row r="762" spans="1:15" ht="12.75" x14ac:dyDescent="0.2">
      <c r="A762" s="1"/>
      <c r="K762" s="27"/>
      <c r="M762" s="27"/>
      <c r="N762" s="27"/>
      <c r="O762" s="27"/>
    </row>
    <row r="763" spans="1:15" ht="12.75" x14ac:dyDescent="0.2">
      <c r="A763" s="1"/>
      <c r="K763" s="27"/>
      <c r="M763" s="27"/>
      <c r="N763" s="27"/>
      <c r="O763" s="27"/>
    </row>
    <row r="764" spans="1:15" ht="12.75" x14ac:dyDescent="0.2">
      <c r="A764" s="1"/>
      <c r="K764" s="27"/>
      <c r="M764" s="27"/>
      <c r="N764" s="27"/>
      <c r="O764" s="27"/>
    </row>
    <row r="765" spans="1:15" ht="12.75" x14ac:dyDescent="0.2">
      <c r="A765" s="1"/>
      <c r="K765" s="27"/>
      <c r="M765" s="27"/>
      <c r="N765" s="27"/>
      <c r="O765" s="27"/>
    </row>
    <row r="766" spans="1:15" ht="12.75" x14ac:dyDescent="0.2">
      <c r="A766" s="1"/>
      <c r="K766" s="27"/>
      <c r="M766" s="27"/>
      <c r="N766" s="27"/>
      <c r="O766" s="27"/>
    </row>
    <row r="767" spans="1:15" ht="12.75" x14ac:dyDescent="0.2">
      <c r="A767" s="1"/>
      <c r="K767" s="27"/>
      <c r="M767" s="27"/>
      <c r="N767" s="27"/>
      <c r="O767" s="27"/>
    </row>
    <row r="768" spans="1:15" ht="12.75" x14ac:dyDescent="0.2">
      <c r="A768" s="1"/>
      <c r="K768" s="27"/>
      <c r="M768" s="27"/>
      <c r="N768" s="27"/>
      <c r="O768" s="27"/>
    </row>
    <row r="769" spans="1:15" ht="12.75" x14ac:dyDescent="0.2">
      <c r="A769" s="1"/>
      <c r="K769" s="27"/>
      <c r="M769" s="27"/>
      <c r="N769" s="27"/>
      <c r="O769" s="27"/>
    </row>
    <row r="770" spans="1:15" ht="12.75" x14ac:dyDescent="0.2">
      <c r="A770" s="1"/>
      <c r="K770" s="27"/>
      <c r="M770" s="27"/>
      <c r="N770" s="27"/>
      <c r="O770" s="27"/>
    </row>
    <row r="771" spans="1:15" ht="12.75" x14ac:dyDescent="0.2">
      <c r="A771" s="1"/>
      <c r="K771" s="27"/>
      <c r="M771" s="27"/>
      <c r="N771" s="27"/>
      <c r="O771" s="27"/>
    </row>
    <row r="772" spans="1:15" ht="12.75" x14ac:dyDescent="0.2">
      <c r="A772" s="1"/>
      <c r="K772" s="27"/>
      <c r="M772" s="27"/>
      <c r="N772" s="27"/>
      <c r="O772" s="27"/>
    </row>
    <row r="773" spans="1:15" ht="12.75" x14ac:dyDescent="0.2">
      <c r="A773" s="1"/>
      <c r="K773" s="27"/>
      <c r="M773" s="27"/>
      <c r="N773" s="27"/>
      <c r="O773" s="27"/>
    </row>
    <row r="774" spans="1:15" ht="12.75" x14ac:dyDescent="0.2">
      <c r="A774" s="1"/>
      <c r="K774" s="27"/>
      <c r="M774" s="27"/>
      <c r="N774" s="27"/>
      <c r="O774" s="27"/>
    </row>
    <row r="775" spans="1:15" ht="12.75" x14ac:dyDescent="0.2">
      <c r="A775" s="1"/>
      <c r="K775" s="27"/>
      <c r="M775" s="27"/>
      <c r="N775" s="27"/>
      <c r="O775" s="27"/>
    </row>
    <row r="776" spans="1:15" ht="12.75" x14ac:dyDescent="0.2">
      <c r="A776" s="1"/>
      <c r="K776" s="27"/>
      <c r="M776" s="27"/>
      <c r="N776" s="27"/>
      <c r="O776" s="27"/>
    </row>
    <row r="777" spans="1:15" ht="12.75" x14ac:dyDescent="0.2">
      <c r="A777" s="1"/>
      <c r="K777" s="27"/>
      <c r="M777" s="27"/>
      <c r="N777" s="27"/>
      <c r="O777" s="27"/>
    </row>
    <row r="778" spans="1:15" ht="12.75" x14ac:dyDescent="0.2">
      <c r="A778" s="1"/>
      <c r="K778" s="27"/>
      <c r="M778" s="27"/>
      <c r="N778" s="27"/>
      <c r="O778" s="27"/>
    </row>
    <row r="779" spans="1:15" ht="12.75" x14ac:dyDescent="0.2">
      <c r="A779" s="1"/>
      <c r="K779" s="27"/>
      <c r="M779" s="27"/>
      <c r="N779" s="27"/>
      <c r="O779" s="27"/>
    </row>
    <row r="780" spans="1:15" ht="12.75" x14ac:dyDescent="0.2">
      <c r="A780" s="1"/>
      <c r="K780" s="27"/>
      <c r="M780" s="27"/>
      <c r="N780" s="27"/>
      <c r="O780" s="27"/>
    </row>
    <row r="781" spans="1:15" ht="12.75" x14ac:dyDescent="0.2">
      <c r="A781" s="1"/>
      <c r="K781" s="27"/>
      <c r="M781" s="27"/>
      <c r="N781" s="27"/>
      <c r="O781" s="27"/>
    </row>
    <row r="782" spans="1:15" ht="12.75" x14ac:dyDescent="0.2">
      <c r="A782" s="1"/>
      <c r="K782" s="27"/>
      <c r="M782" s="27"/>
      <c r="N782" s="27"/>
      <c r="O782" s="27"/>
    </row>
    <row r="783" spans="1:15" ht="12.75" x14ac:dyDescent="0.2">
      <c r="A783" s="1"/>
      <c r="K783" s="27"/>
      <c r="M783" s="27"/>
      <c r="N783" s="27"/>
      <c r="O783" s="27"/>
    </row>
    <row r="784" spans="1:15" ht="12.75" x14ac:dyDescent="0.2">
      <c r="A784" s="1"/>
      <c r="K784" s="27"/>
      <c r="M784" s="27"/>
      <c r="N784" s="27"/>
      <c r="O784" s="27"/>
    </row>
    <row r="785" spans="1:15" ht="12.75" x14ac:dyDescent="0.2">
      <c r="A785" s="1"/>
      <c r="K785" s="27"/>
      <c r="M785" s="27"/>
      <c r="N785" s="27"/>
      <c r="O785" s="27"/>
    </row>
    <row r="786" spans="1:15" ht="12.75" x14ac:dyDescent="0.2">
      <c r="A786" s="1"/>
      <c r="K786" s="27"/>
      <c r="M786" s="27"/>
      <c r="N786" s="27"/>
      <c r="O786" s="27"/>
    </row>
    <row r="787" spans="1:15" ht="12.75" x14ac:dyDescent="0.2">
      <c r="A787" s="1"/>
      <c r="K787" s="27"/>
      <c r="M787" s="27"/>
      <c r="N787" s="27"/>
      <c r="O787" s="27"/>
    </row>
    <row r="788" spans="1:15" ht="12.75" x14ac:dyDescent="0.2">
      <c r="A788" s="1"/>
      <c r="K788" s="27"/>
      <c r="M788" s="27"/>
      <c r="N788" s="27"/>
      <c r="O788" s="27"/>
    </row>
    <row r="789" spans="1:15" ht="12.75" x14ac:dyDescent="0.2">
      <c r="A789" s="1"/>
      <c r="K789" s="27"/>
      <c r="M789" s="27"/>
      <c r="N789" s="27"/>
      <c r="O789" s="27"/>
    </row>
    <row r="790" spans="1:15" ht="12.75" x14ac:dyDescent="0.2">
      <c r="A790" s="1"/>
      <c r="K790" s="27"/>
      <c r="M790" s="27"/>
      <c r="N790" s="27"/>
      <c r="O790" s="27"/>
    </row>
    <row r="791" spans="1:15" ht="12.75" x14ac:dyDescent="0.2">
      <c r="A791" s="1"/>
      <c r="K791" s="27"/>
      <c r="M791" s="27"/>
      <c r="N791" s="27"/>
      <c r="O791" s="27"/>
    </row>
    <row r="792" spans="1:15" ht="12.75" x14ac:dyDescent="0.2">
      <c r="A792" s="1"/>
      <c r="K792" s="27"/>
      <c r="M792" s="27"/>
      <c r="N792" s="27"/>
      <c r="O792" s="27"/>
    </row>
    <row r="793" spans="1:15" ht="12.75" x14ac:dyDescent="0.2">
      <c r="A793" s="1"/>
      <c r="K793" s="27"/>
      <c r="M793" s="27"/>
      <c r="N793" s="27"/>
      <c r="O793" s="27"/>
    </row>
    <row r="794" spans="1:15" ht="12.75" x14ac:dyDescent="0.2">
      <c r="A794" s="1"/>
      <c r="K794" s="27"/>
      <c r="M794" s="27"/>
      <c r="N794" s="27"/>
      <c r="O794" s="27"/>
    </row>
    <row r="795" spans="1:15" ht="12.75" x14ac:dyDescent="0.2">
      <c r="A795" s="1"/>
      <c r="K795" s="27"/>
      <c r="M795" s="27"/>
      <c r="N795" s="27"/>
      <c r="O795" s="27"/>
    </row>
    <row r="796" spans="1:15" ht="12.75" x14ac:dyDescent="0.2">
      <c r="A796" s="1"/>
      <c r="K796" s="27"/>
      <c r="M796" s="27"/>
      <c r="N796" s="27"/>
      <c r="O796" s="27"/>
    </row>
    <row r="797" spans="1:15" ht="12.75" x14ac:dyDescent="0.2">
      <c r="A797" s="1"/>
      <c r="K797" s="27"/>
      <c r="M797" s="27"/>
      <c r="N797" s="27"/>
      <c r="O797" s="27"/>
    </row>
    <row r="798" spans="1:15" ht="12.75" x14ac:dyDescent="0.2">
      <c r="A798" s="1"/>
      <c r="K798" s="27"/>
      <c r="M798" s="27"/>
      <c r="N798" s="27"/>
      <c r="O798" s="27"/>
    </row>
    <row r="799" spans="1:15" ht="12.75" x14ac:dyDescent="0.2">
      <c r="A799" s="1"/>
      <c r="K799" s="27"/>
      <c r="M799" s="27"/>
      <c r="N799" s="27"/>
      <c r="O799" s="27"/>
    </row>
    <row r="800" spans="1:15" ht="12.75" x14ac:dyDescent="0.2">
      <c r="A800" s="1"/>
      <c r="K800" s="27"/>
      <c r="M800" s="27"/>
      <c r="N800" s="27"/>
      <c r="O800" s="27"/>
    </row>
    <row r="801" spans="1:15" ht="12.75" x14ac:dyDescent="0.2">
      <c r="A801" s="1"/>
      <c r="K801" s="27"/>
      <c r="M801" s="27"/>
      <c r="N801" s="27"/>
      <c r="O801" s="27"/>
    </row>
    <row r="802" spans="1:15" ht="12.75" x14ac:dyDescent="0.2">
      <c r="A802" s="1"/>
      <c r="K802" s="27"/>
      <c r="M802" s="27"/>
      <c r="N802" s="27"/>
      <c r="O802" s="27"/>
    </row>
    <row r="803" spans="1:15" ht="12.75" x14ac:dyDescent="0.2">
      <c r="A803" s="1"/>
      <c r="K803" s="27"/>
      <c r="M803" s="27"/>
      <c r="N803" s="27"/>
      <c r="O803" s="27"/>
    </row>
    <row r="804" spans="1:15" ht="12.75" x14ac:dyDescent="0.2">
      <c r="A804" s="1"/>
      <c r="K804" s="27"/>
      <c r="M804" s="27"/>
      <c r="N804" s="27"/>
      <c r="O804" s="27"/>
    </row>
    <row r="805" spans="1:15" ht="12.75" x14ac:dyDescent="0.2">
      <c r="A805" s="1"/>
      <c r="K805" s="27"/>
      <c r="M805" s="27"/>
      <c r="N805" s="27"/>
      <c r="O805" s="27"/>
    </row>
    <row r="806" spans="1:15" ht="12.75" x14ac:dyDescent="0.2">
      <c r="A806" s="1"/>
      <c r="K806" s="27"/>
      <c r="M806" s="27"/>
      <c r="N806" s="27"/>
      <c r="O806" s="27"/>
    </row>
    <row r="807" spans="1:15" ht="12.75" x14ac:dyDescent="0.2">
      <c r="A807" s="1"/>
      <c r="K807" s="27"/>
      <c r="M807" s="27"/>
      <c r="N807" s="27"/>
      <c r="O807" s="27"/>
    </row>
    <row r="808" spans="1:15" ht="12.75" x14ac:dyDescent="0.2">
      <c r="A808" s="1"/>
      <c r="K808" s="27"/>
      <c r="M808" s="27"/>
      <c r="N808" s="27"/>
      <c r="O808" s="27"/>
    </row>
    <row r="809" spans="1:15" ht="12.75" x14ac:dyDescent="0.2">
      <c r="A809" s="1"/>
      <c r="K809" s="27"/>
      <c r="M809" s="27"/>
      <c r="N809" s="27"/>
      <c r="O809" s="27"/>
    </row>
    <row r="810" spans="1:15" ht="12.75" x14ac:dyDescent="0.2">
      <c r="A810" s="1"/>
      <c r="K810" s="27"/>
      <c r="M810" s="27"/>
      <c r="N810" s="27"/>
      <c r="O810" s="27"/>
    </row>
    <row r="811" spans="1:15" ht="12.75" x14ac:dyDescent="0.2">
      <c r="A811" s="1"/>
      <c r="K811" s="27"/>
      <c r="M811" s="27"/>
      <c r="N811" s="27"/>
      <c r="O811" s="27"/>
    </row>
    <row r="812" spans="1:15" ht="12.75" x14ac:dyDescent="0.2">
      <c r="A812" s="1"/>
      <c r="K812" s="27"/>
      <c r="M812" s="27"/>
      <c r="N812" s="27"/>
      <c r="O812" s="27"/>
    </row>
    <row r="813" spans="1:15" ht="12.75" x14ac:dyDescent="0.2">
      <c r="A813" s="1"/>
      <c r="K813" s="27"/>
      <c r="M813" s="27"/>
      <c r="N813" s="27"/>
      <c r="O813" s="27"/>
    </row>
    <row r="814" spans="1:15" ht="12.75" x14ac:dyDescent="0.2">
      <c r="A814" s="1"/>
      <c r="K814" s="27"/>
      <c r="M814" s="27"/>
      <c r="N814" s="27"/>
      <c r="O814" s="27"/>
    </row>
    <row r="815" spans="1:15" ht="12.75" x14ac:dyDescent="0.2">
      <c r="A815" s="1"/>
      <c r="K815" s="27"/>
      <c r="M815" s="27"/>
      <c r="N815" s="27"/>
      <c r="O815" s="27"/>
    </row>
    <row r="816" spans="1:15" ht="12.75" x14ac:dyDescent="0.2">
      <c r="A816" s="1"/>
      <c r="K816" s="27"/>
      <c r="M816" s="27"/>
      <c r="N816" s="27"/>
      <c r="O816" s="27"/>
    </row>
    <row r="817" spans="1:15" ht="12.75" x14ac:dyDescent="0.2">
      <c r="A817" s="1"/>
      <c r="K817" s="27"/>
      <c r="M817" s="27"/>
      <c r="N817" s="27"/>
      <c r="O817" s="27"/>
    </row>
    <row r="818" spans="1:15" ht="12.75" x14ac:dyDescent="0.2">
      <c r="A818" s="1"/>
      <c r="K818" s="27"/>
      <c r="M818" s="27"/>
      <c r="N818" s="27"/>
      <c r="O818" s="27"/>
    </row>
    <row r="819" spans="1:15" ht="12.75" x14ac:dyDescent="0.2">
      <c r="A819" s="1"/>
      <c r="K819" s="27"/>
      <c r="M819" s="27"/>
      <c r="N819" s="27"/>
      <c r="O819" s="27"/>
    </row>
    <row r="820" spans="1:15" ht="12.75" x14ac:dyDescent="0.2">
      <c r="A820" s="1"/>
      <c r="K820" s="27"/>
      <c r="M820" s="27"/>
      <c r="N820" s="27"/>
      <c r="O820" s="27"/>
    </row>
    <row r="821" spans="1:15" ht="12.75" x14ac:dyDescent="0.2">
      <c r="A821" s="1"/>
      <c r="K821" s="27"/>
      <c r="M821" s="27"/>
      <c r="N821" s="27"/>
      <c r="O821" s="27"/>
    </row>
    <row r="822" spans="1:15" ht="12.75" x14ac:dyDescent="0.2">
      <c r="A822" s="1"/>
      <c r="K822" s="27"/>
      <c r="M822" s="27"/>
      <c r="N822" s="27"/>
      <c r="O822" s="27"/>
    </row>
    <row r="823" spans="1:15" ht="12.75" x14ac:dyDescent="0.2">
      <c r="A823" s="1"/>
      <c r="K823" s="27"/>
      <c r="M823" s="27"/>
      <c r="N823" s="27"/>
      <c r="O823" s="27"/>
    </row>
    <row r="824" spans="1:15" ht="12.75" x14ac:dyDescent="0.2">
      <c r="A824" s="1"/>
      <c r="K824" s="27"/>
      <c r="M824" s="27"/>
      <c r="N824" s="27"/>
      <c r="O824" s="27"/>
    </row>
    <row r="825" spans="1:15" ht="12.75" x14ac:dyDescent="0.2">
      <c r="A825" s="1"/>
      <c r="K825" s="27"/>
      <c r="M825" s="27"/>
      <c r="N825" s="27"/>
      <c r="O825" s="27"/>
    </row>
    <row r="826" spans="1:15" ht="12.75" x14ac:dyDescent="0.2">
      <c r="A826" s="1"/>
      <c r="K826" s="27"/>
      <c r="M826" s="27"/>
      <c r="N826" s="27"/>
      <c r="O826" s="27"/>
    </row>
    <row r="827" spans="1:15" ht="12.75" x14ac:dyDescent="0.2">
      <c r="A827" s="1"/>
      <c r="K827" s="27"/>
      <c r="M827" s="27"/>
      <c r="N827" s="27"/>
      <c r="O827" s="27"/>
    </row>
    <row r="828" spans="1:15" ht="12.75" x14ac:dyDescent="0.2">
      <c r="A828" s="1"/>
      <c r="K828" s="27"/>
      <c r="M828" s="27"/>
      <c r="N828" s="27"/>
      <c r="O828" s="27"/>
    </row>
    <row r="829" spans="1:15" ht="12.75" x14ac:dyDescent="0.2">
      <c r="A829" s="1"/>
      <c r="K829" s="27"/>
      <c r="M829" s="27"/>
      <c r="N829" s="27"/>
      <c r="O829" s="27"/>
    </row>
    <row r="830" spans="1:15" ht="12.75" x14ac:dyDescent="0.2">
      <c r="A830" s="1"/>
      <c r="K830" s="27"/>
      <c r="M830" s="27"/>
      <c r="N830" s="27"/>
      <c r="O830" s="27"/>
    </row>
    <row r="831" spans="1:15" ht="12.75" x14ac:dyDescent="0.2">
      <c r="A831" s="1"/>
      <c r="K831" s="27"/>
      <c r="M831" s="27"/>
      <c r="N831" s="27"/>
      <c r="O831" s="27"/>
    </row>
    <row r="832" spans="1:15" ht="12.75" x14ac:dyDescent="0.2">
      <c r="A832" s="1"/>
      <c r="K832" s="27"/>
      <c r="M832" s="27"/>
      <c r="N832" s="27"/>
      <c r="O832" s="27"/>
    </row>
    <row r="833" spans="1:15" ht="12.75" x14ac:dyDescent="0.2">
      <c r="A833" s="1"/>
      <c r="K833" s="27"/>
      <c r="M833" s="27"/>
      <c r="N833" s="27"/>
      <c r="O833" s="27"/>
    </row>
    <row r="834" spans="1:15" ht="12.75" x14ac:dyDescent="0.2">
      <c r="A834" s="1"/>
      <c r="K834" s="27"/>
      <c r="M834" s="27"/>
      <c r="N834" s="27"/>
      <c r="O834" s="27"/>
    </row>
    <row r="835" spans="1:15" ht="12.75" x14ac:dyDescent="0.2">
      <c r="A835" s="1"/>
      <c r="K835" s="27"/>
      <c r="M835" s="27"/>
      <c r="N835" s="27"/>
      <c r="O835" s="27"/>
    </row>
    <row r="836" spans="1:15" ht="12.75" x14ac:dyDescent="0.2">
      <c r="A836" s="1"/>
      <c r="K836" s="27"/>
      <c r="M836" s="27"/>
      <c r="N836" s="27"/>
      <c r="O836" s="27"/>
    </row>
    <row r="837" spans="1:15" ht="12.75" x14ac:dyDescent="0.2">
      <c r="A837" s="1"/>
      <c r="K837" s="27"/>
      <c r="M837" s="27"/>
      <c r="N837" s="27"/>
      <c r="O837" s="27"/>
    </row>
    <row r="838" spans="1:15" ht="12.75" x14ac:dyDescent="0.2">
      <c r="A838" s="1"/>
      <c r="K838" s="27"/>
      <c r="M838" s="27"/>
      <c r="N838" s="27"/>
      <c r="O838" s="27"/>
    </row>
    <row r="839" spans="1:15" ht="12.75" x14ac:dyDescent="0.2">
      <c r="A839" s="1"/>
      <c r="K839" s="27"/>
      <c r="M839" s="27"/>
      <c r="N839" s="27"/>
      <c r="O839" s="27"/>
    </row>
    <row r="840" spans="1:15" ht="12.75" x14ac:dyDescent="0.2">
      <c r="A840" s="1"/>
      <c r="K840" s="27"/>
      <c r="M840" s="27"/>
      <c r="N840" s="27"/>
      <c r="O840" s="27"/>
    </row>
    <row r="841" spans="1:15" ht="12.75" x14ac:dyDescent="0.2">
      <c r="A841" s="1"/>
      <c r="K841" s="27"/>
      <c r="M841" s="27"/>
      <c r="N841" s="27"/>
      <c r="O841" s="27"/>
    </row>
    <row r="842" spans="1:15" ht="12.75" x14ac:dyDescent="0.2">
      <c r="A842" s="1"/>
      <c r="K842" s="27"/>
      <c r="M842" s="27"/>
      <c r="N842" s="27"/>
      <c r="O842" s="27"/>
    </row>
    <row r="843" spans="1:15" ht="12.75" x14ac:dyDescent="0.2">
      <c r="A843" s="1"/>
      <c r="K843" s="27"/>
      <c r="M843" s="27"/>
      <c r="N843" s="27"/>
      <c r="O843" s="27"/>
    </row>
    <row r="844" spans="1:15" ht="12.75" x14ac:dyDescent="0.2">
      <c r="A844" s="1"/>
      <c r="K844" s="27"/>
      <c r="M844" s="27"/>
      <c r="N844" s="27"/>
      <c r="O844" s="27"/>
    </row>
    <row r="845" spans="1:15" ht="12.75" x14ac:dyDescent="0.2">
      <c r="A845" s="1"/>
      <c r="K845" s="27"/>
      <c r="M845" s="27"/>
      <c r="N845" s="27"/>
      <c r="O845" s="27"/>
    </row>
    <row r="846" spans="1:15" ht="12.75" x14ac:dyDescent="0.2">
      <c r="A846" s="1"/>
      <c r="K846" s="27"/>
      <c r="M846" s="27"/>
      <c r="N846" s="27"/>
      <c r="O846" s="27"/>
    </row>
    <row r="847" spans="1:15" ht="12.75" x14ac:dyDescent="0.2">
      <c r="A847" s="1"/>
      <c r="K847" s="27"/>
      <c r="M847" s="27"/>
      <c r="N847" s="27"/>
      <c r="O847" s="27"/>
    </row>
    <row r="848" spans="1:15" ht="12.75" x14ac:dyDescent="0.2">
      <c r="A848" s="1"/>
      <c r="K848" s="27"/>
      <c r="M848" s="27"/>
      <c r="N848" s="27"/>
      <c r="O848" s="27"/>
    </row>
    <row r="849" spans="1:15" ht="12.75" x14ac:dyDescent="0.2">
      <c r="A849" s="1"/>
      <c r="K849" s="27"/>
      <c r="M849" s="27"/>
      <c r="N849" s="27"/>
      <c r="O849" s="27"/>
    </row>
    <row r="850" spans="1:15" ht="12.75" x14ac:dyDescent="0.2">
      <c r="A850" s="1"/>
      <c r="K850" s="27"/>
      <c r="M850" s="27"/>
      <c r="N850" s="27"/>
      <c r="O850" s="27"/>
    </row>
    <row r="851" spans="1:15" ht="12.75" x14ac:dyDescent="0.2">
      <c r="A851" s="1"/>
      <c r="K851" s="27"/>
      <c r="M851" s="27"/>
      <c r="N851" s="27"/>
      <c r="O851" s="27"/>
    </row>
    <row r="852" spans="1:15" ht="12.75" x14ac:dyDescent="0.2">
      <c r="A852" s="1"/>
      <c r="K852" s="27"/>
      <c r="M852" s="27"/>
      <c r="N852" s="27"/>
      <c r="O852" s="27"/>
    </row>
    <row r="853" spans="1:15" ht="12.75" x14ac:dyDescent="0.2">
      <c r="A853" s="1"/>
      <c r="K853" s="27"/>
      <c r="M853" s="27"/>
      <c r="N853" s="27"/>
      <c r="O853" s="27"/>
    </row>
    <row r="854" spans="1:15" ht="12.75" x14ac:dyDescent="0.2">
      <c r="A854" s="1"/>
      <c r="K854" s="27"/>
      <c r="M854" s="27"/>
      <c r="N854" s="27"/>
      <c r="O854" s="27"/>
    </row>
    <row r="855" spans="1:15" ht="12.75" x14ac:dyDescent="0.2">
      <c r="A855" s="1"/>
      <c r="K855" s="27"/>
      <c r="M855" s="27"/>
      <c r="N855" s="27"/>
      <c r="O855" s="27"/>
    </row>
    <row r="856" spans="1:15" ht="12.75" x14ac:dyDescent="0.2">
      <c r="A856" s="1"/>
      <c r="K856" s="27"/>
      <c r="M856" s="27"/>
      <c r="N856" s="27"/>
      <c r="O856" s="27"/>
    </row>
    <row r="857" spans="1:15" ht="12.75" x14ac:dyDescent="0.2">
      <c r="A857" s="1"/>
      <c r="K857" s="27"/>
      <c r="M857" s="27"/>
      <c r="N857" s="27"/>
      <c r="O857" s="27"/>
    </row>
    <row r="858" spans="1:15" ht="12.75" x14ac:dyDescent="0.2">
      <c r="A858" s="1"/>
      <c r="K858" s="27"/>
      <c r="M858" s="27"/>
      <c r="N858" s="27"/>
      <c r="O858" s="27"/>
    </row>
    <row r="859" spans="1:15" ht="12.75" x14ac:dyDescent="0.2">
      <c r="A859" s="1"/>
      <c r="K859" s="27"/>
      <c r="M859" s="27"/>
      <c r="N859" s="27"/>
      <c r="O859" s="27"/>
    </row>
    <row r="860" spans="1:15" ht="12.75" x14ac:dyDescent="0.2">
      <c r="A860" s="1"/>
      <c r="K860" s="27"/>
      <c r="M860" s="27"/>
      <c r="N860" s="27"/>
      <c r="O860" s="27"/>
    </row>
    <row r="861" spans="1:15" ht="12.75" x14ac:dyDescent="0.2">
      <c r="A861" s="1"/>
      <c r="K861" s="27"/>
      <c r="M861" s="27"/>
      <c r="N861" s="27"/>
      <c r="O861" s="27"/>
    </row>
    <row r="862" spans="1:15" ht="12.75" x14ac:dyDescent="0.2">
      <c r="A862" s="1"/>
      <c r="K862" s="27"/>
      <c r="M862" s="27"/>
      <c r="N862" s="27"/>
      <c r="O862" s="27"/>
    </row>
    <row r="863" spans="1:15" ht="12.75" x14ac:dyDescent="0.2">
      <c r="A863" s="1"/>
      <c r="K863" s="27"/>
      <c r="M863" s="27"/>
      <c r="N863" s="27"/>
      <c r="O863" s="27"/>
    </row>
    <row r="864" spans="1:15" ht="12.75" x14ac:dyDescent="0.2">
      <c r="A864" s="1"/>
      <c r="K864" s="27"/>
      <c r="M864" s="27"/>
      <c r="N864" s="27"/>
      <c r="O864" s="27"/>
    </row>
    <row r="865" spans="1:15" ht="12.75" x14ac:dyDescent="0.2">
      <c r="A865" s="1"/>
      <c r="K865" s="27"/>
      <c r="M865" s="27"/>
      <c r="N865" s="27"/>
      <c r="O865" s="27"/>
    </row>
    <row r="866" spans="1:15" ht="12.75" x14ac:dyDescent="0.2">
      <c r="A866" s="1"/>
      <c r="K866" s="27"/>
      <c r="M866" s="27"/>
      <c r="N866" s="27"/>
      <c r="O866" s="27"/>
    </row>
    <row r="867" spans="1:15" ht="12.75" x14ac:dyDescent="0.2">
      <c r="A867" s="1"/>
      <c r="K867" s="27"/>
      <c r="M867" s="27"/>
      <c r="N867" s="27"/>
      <c r="O867" s="27"/>
    </row>
    <row r="868" spans="1:15" ht="12.75" x14ac:dyDescent="0.2">
      <c r="A868" s="1"/>
      <c r="K868" s="27"/>
      <c r="M868" s="27"/>
      <c r="N868" s="27"/>
      <c r="O868" s="27"/>
    </row>
    <row r="869" spans="1:15" ht="12.75" x14ac:dyDescent="0.2">
      <c r="A869" s="1"/>
      <c r="K869" s="27"/>
      <c r="M869" s="27"/>
      <c r="N869" s="27"/>
      <c r="O869" s="27"/>
    </row>
    <row r="870" spans="1:15" ht="12.75" x14ac:dyDescent="0.2">
      <c r="A870" s="1"/>
      <c r="K870" s="27"/>
      <c r="M870" s="27"/>
      <c r="N870" s="27"/>
      <c r="O870" s="27"/>
    </row>
    <row r="871" spans="1:15" ht="12.75" x14ac:dyDescent="0.2">
      <c r="A871" s="1"/>
      <c r="K871" s="27"/>
      <c r="M871" s="27"/>
      <c r="N871" s="27"/>
      <c r="O871" s="27"/>
    </row>
    <row r="872" spans="1:15" ht="12.75" x14ac:dyDescent="0.2">
      <c r="A872" s="1"/>
      <c r="K872" s="27"/>
      <c r="M872" s="27"/>
      <c r="N872" s="27"/>
      <c r="O872" s="27"/>
    </row>
    <row r="873" spans="1:15" ht="12.75" x14ac:dyDescent="0.2">
      <c r="A873" s="1"/>
      <c r="K873" s="27"/>
      <c r="M873" s="27"/>
      <c r="N873" s="27"/>
      <c r="O873" s="27"/>
    </row>
    <row r="874" spans="1:15" ht="12.75" x14ac:dyDescent="0.2">
      <c r="A874" s="1"/>
      <c r="K874" s="27"/>
      <c r="M874" s="27"/>
      <c r="N874" s="27"/>
      <c r="O874" s="27"/>
    </row>
    <row r="875" spans="1:15" ht="12.75" x14ac:dyDescent="0.2">
      <c r="A875" s="1"/>
      <c r="K875" s="27"/>
      <c r="M875" s="27"/>
      <c r="N875" s="27"/>
      <c r="O875" s="27"/>
    </row>
    <row r="876" spans="1:15" ht="12.75" x14ac:dyDescent="0.2">
      <c r="A876" s="1"/>
      <c r="K876" s="27"/>
      <c r="M876" s="27"/>
      <c r="N876" s="27"/>
      <c r="O876" s="27"/>
    </row>
    <row r="877" spans="1:15" ht="12.75" x14ac:dyDescent="0.2">
      <c r="A877" s="1"/>
      <c r="K877" s="27"/>
      <c r="M877" s="27"/>
      <c r="N877" s="27"/>
      <c r="O877" s="27"/>
    </row>
    <row r="878" spans="1:15" ht="12.75" x14ac:dyDescent="0.2">
      <c r="A878" s="1"/>
      <c r="K878" s="27"/>
      <c r="M878" s="27"/>
      <c r="N878" s="27"/>
      <c r="O878" s="27"/>
    </row>
    <row r="879" spans="1:15" ht="12.75" x14ac:dyDescent="0.2">
      <c r="A879" s="1"/>
      <c r="K879" s="27"/>
      <c r="M879" s="27"/>
      <c r="N879" s="27"/>
      <c r="O879" s="27"/>
    </row>
    <row r="880" spans="1:15" ht="12.75" x14ac:dyDescent="0.2">
      <c r="A880" s="1"/>
      <c r="K880" s="27"/>
      <c r="M880" s="27"/>
      <c r="N880" s="27"/>
      <c r="O880" s="27"/>
    </row>
    <row r="881" spans="1:15" ht="12.75" x14ac:dyDescent="0.2">
      <c r="A881" s="1"/>
      <c r="K881" s="27"/>
      <c r="M881" s="27"/>
      <c r="N881" s="27"/>
      <c r="O881" s="27"/>
    </row>
    <row r="882" spans="1:15" ht="12.75" x14ac:dyDescent="0.2">
      <c r="A882" s="1"/>
      <c r="K882" s="27"/>
      <c r="M882" s="27"/>
      <c r="N882" s="27"/>
      <c r="O882" s="27"/>
    </row>
    <row r="883" spans="1:15" ht="12.75" x14ac:dyDescent="0.2">
      <c r="A883" s="1"/>
      <c r="K883" s="27"/>
      <c r="M883" s="27"/>
      <c r="N883" s="27"/>
      <c r="O883" s="27"/>
    </row>
    <row r="884" spans="1:15" ht="12.75" x14ac:dyDescent="0.2">
      <c r="A884" s="1"/>
      <c r="K884" s="27"/>
      <c r="M884" s="27"/>
      <c r="N884" s="27"/>
      <c r="O884" s="27"/>
    </row>
    <row r="885" spans="1:15" ht="12.75" x14ac:dyDescent="0.2">
      <c r="A885" s="1"/>
      <c r="K885" s="27"/>
      <c r="M885" s="27"/>
      <c r="N885" s="27"/>
      <c r="O885" s="27"/>
    </row>
    <row r="886" spans="1:15" ht="12.75" x14ac:dyDescent="0.2">
      <c r="A886" s="1"/>
      <c r="K886" s="27"/>
      <c r="M886" s="27"/>
      <c r="N886" s="27"/>
      <c r="O886" s="27"/>
    </row>
    <row r="887" spans="1:15" ht="12.75" x14ac:dyDescent="0.2">
      <c r="A887" s="1"/>
      <c r="K887" s="27"/>
      <c r="M887" s="27"/>
      <c r="N887" s="27"/>
      <c r="O887" s="27"/>
    </row>
    <row r="888" spans="1:15" ht="12.75" x14ac:dyDescent="0.2">
      <c r="A888" s="1"/>
      <c r="K888" s="27"/>
      <c r="M888" s="27"/>
      <c r="N888" s="27"/>
      <c r="O888" s="27"/>
    </row>
    <row r="889" spans="1:15" ht="12.75" x14ac:dyDescent="0.2">
      <c r="A889" s="1"/>
      <c r="K889" s="27"/>
      <c r="M889" s="27"/>
      <c r="N889" s="27"/>
      <c r="O889" s="27"/>
    </row>
    <row r="890" spans="1:15" ht="12.75" x14ac:dyDescent="0.2">
      <c r="A890" s="1"/>
      <c r="K890" s="27"/>
      <c r="M890" s="27"/>
      <c r="N890" s="27"/>
      <c r="O890" s="27"/>
    </row>
    <row r="891" spans="1:15" ht="12.75" x14ac:dyDescent="0.2">
      <c r="A891" s="1"/>
      <c r="K891" s="27"/>
      <c r="M891" s="27"/>
      <c r="N891" s="27"/>
      <c r="O891" s="27"/>
    </row>
    <row r="892" spans="1:15" ht="12.75" x14ac:dyDescent="0.2">
      <c r="A892" s="1"/>
      <c r="K892" s="27"/>
      <c r="M892" s="27"/>
      <c r="N892" s="27"/>
      <c r="O892" s="27"/>
    </row>
    <row r="893" spans="1:15" ht="12.75" x14ac:dyDescent="0.2">
      <c r="A893" s="1"/>
      <c r="K893" s="27"/>
      <c r="M893" s="27"/>
      <c r="N893" s="27"/>
      <c r="O893" s="27"/>
    </row>
    <row r="894" spans="1:15" ht="12.75" x14ac:dyDescent="0.2">
      <c r="A894" s="1"/>
      <c r="K894" s="27"/>
      <c r="M894" s="27"/>
      <c r="N894" s="27"/>
      <c r="O894" s="27"/>
    </row>
    <row r="895" spans="1:15" ht="12.75" x14ac:dyDescent="0.2">
      <c r="A895" s="1"/>
      <c r="K895" s="27"/>
      <c r="M895" s="27"/>
      <c r="N895" s="27"/>
      <c r="O895" s="27"/>
    </row>
    <row r="896" spans="1:15" ht="12.75" x14ac:dyDescent="0.2">
      <c r="A896" s="1"/>
      <c r="K896" s="27"/>
      <c r="M896" s="27"/>
      <c r="N896" s="27"/>
      <c r="O896" s="27"/>
    </row>
    <row r="897" spans="1:15" ht="12.75" x14ac:dyDescent="0.2">
      <c r="A897" s="1"/>
      <c r="K897" s="27"/>
      <c r="M897" s="27"/>
      <c r="N897" s="27"/>
      <c r="O897" s="27"/>
    </row>
    <row r="898" spans="1:15" ht="12.75" x14ac:dyDescent="0.2">
      <c r="A898" s="1"/>
      <c r="K898" s="27"/>
      <c r="M898" s="27"/>
      <c r="N898" s="27"/>
      <c r="O898" s="27"/>
    </row>
    <row r="899" spans="1:15" ht="12.75" x14ac:dyDescent="0.2">
      <c r="A899" s="1"/>
      <c r="K899" s="27"/>
      <c r="M899" s="27"/>
      <c r="N899" s="27"/>
      <c r="O899" s="27"/>
    </row>
    <row r="900" spans="1:15" ht="12.75" x14ac:dyDescent="0.2">
      <c r="A900" s="1"/>
      <c r="K900" s="27"/>
      <c r="M900" s="27"/>
      <c r="N900" s="27"/>
      <c r="O900" s="27"/>
    </row>
    <row r="901" spans="1:15" ht="12.75" x14ac:dyDescent="0.2">
      <c r="A901" s="1"/>
      <c r="K901" s="27"/>
      <c r="M901" s="27"/>
      <c r="N901" s="27"/>
      <c r="O901" s="27"/>
    </row>
    <row r="902" spans="1:15" ht="12.75" x14ac:dyDescent="0.2">
      <c r="A902" s="1"/>
      <c r="K902" s="27"/>
      <c r="M902" s="27"/>
      <c r="N902" s="27"/>
      <c r="O902" s="27"/>
    </row>
    <row r="903" spans="1:15" ht="12.75" x14ac:dyDescent="0.2">
      <c r="A903" s="1"/>
      <c r="K903" s="27"/>
      <c r="M903" s="27"/>
      <c r="N903" s="27"/>
      <c r="O903" s="27"/>
    </row>
    <row r="904" spans="1:15" ht="12.75" x14ac:dyDescent="0.2">
      <c r="A904" s="1"/>
      <c r="K904" s="27"/>
      <c r="M904" s="27"/>
      <c r="N904" s="27"/>
      <c r="O904" s="27"/>
    </row>
    <row r="905" spans="1:15" ht="12.75" x14ac:dyDescent="0.2">
      <c r="A905" s="1"/>
      <c r="K905" s="27"/>
      <c r="M905" s="27"/>
      <c r="N905" s="27"/>
      <c r="O905" s="27"/>
    </row>
    <row r="906" spans="1:15" ht="12.75" x14ac:dyDescent="0.2">
      <c r="A906" s="1"/>
      <c r="K906" s="27"/>
      <c r="M906" s="27"/>
      <c r="N906" s="27"/>
      <c r="O906" s="27"/>
    </row>
    <row r="907" spans="1:15" ht="12.75" x14ac:dyDescent="0.2">
      <c r="A907" s="1"/>
      <c r="K907" s="27"/>
      <c r="M907" s="27"/>
      <c r="N907" s="27"/>
      <c r="O907" s="27"/>
    </row>
    <row r="908" spans="1:15" ht="12.75" x14ac:dyDescent="0.2">
      <c r="A908" s="1"/>
      <c r="K908" s="27"/>
      <c r="M908" s="27"/>
      <c r="N908" s="27"/>
      <c r="O908" s="27"/>
    </row>
    <row r="909" spans="1:15" ht="12.75" x14ac:dyDescent="0.2">
      <c r="A909" s="1"/>
      <c r="K909" s="27"/>
      <c r="M909" s="27"/>
      <c r="N909" s="27"/>
      <c r="O909" s="27"/>
    </row>
    <row r="910" spans="1:15" ht="12.75" x14ac:dyDescent="0.2">
      <c r="A910" s="1"/>
      <c r="K910" s="27"/>
      <c r="M910" s="27"/>
      <c r="N910" s="27"/>
      <c r="O910" s="27"/>
    </row>
    <row r="911" spans="1:15" ht="12.75" x14ac:dyDescent="0.2">
      <c r="A911" s="1"/>
      <c r="K911" s="27"/>
      <c r="M911" s="27"/>
      <c r="N911" s="27"/>
      <c r="O911" s="27"/>
    </row>
    <row r="912" spans="1:15" ht="12.75" x14ac:dyDescent="0.2">
      <c r="A912" s="1"/>
      <c r="K912" s="27"/>
      <c r="M912" s="27"/>
      <c r="N912" s="27"/>
      <c r="O912" s="27"/>
    </row>
    <row r="913" spans="1:15" ht="12.75" x14ac:dyDescent="0.2">
      <c r="A913" s="1"/>
      <c r="K913" s="27"/>
      <c r="M913" s="27"/>
      <c r="N913" s="27"/>
      <c r="O913" s="27"/>
    </row>
    <row r="914" spans="1:15" ht="12.75" x14ac:dyDescent="0.2">
      <c r="A914" s="1"/>
      <c r="K914" s="27"/>
      <c r="M914" s="27"/>
      <c r="N914" s="27"/>
      <c r="O914" s="27"/>
    </row>
    <row r="915" spans="1:15" ht="12.75" x14ac:dyDescent="0.2">
      <c r="A915" s="1"/>
      <c r="K915" s="27"/>
      <c r="M915" s="27"/>
      <c r="N915" s="27"/>
      <c r="O915" s="27"/>
    </row>
    <row r="916" spans="1:15" ht="12.75" x14ac:dyDescent="0.2">
      <c r="A916" s="1"/>
      <c r="K916" s="27"/>
      <c r="M916" s="27"/>
      <c r="N916" s="27"/>
      <c r="O916" s="27"/>
    </row>
    <row r="917" spans="1:15" ht="12.75" x14ac:dyDescent="0.2">
      <c r="A917" s="1"/>
      <c r="K917" s="27"/>
      <c r="M917" s="27"/>
      <c r="N917" s="27"/>
      <c r="O917" s="27"/>
    </row>
    <row r="918" spans="1:15" ht="12.75" x14ac:dyDescent="0.2">
      <c r="A918" s="1"/>
      <c r="K918" s="27"/>
      <c r="M918" s="27"/>
      <c r="N918" s="27"/>
      <c r="O918" s="27"/>
    </row>
    <row r="919" spans="1:15" ht="12.75" x14ac:dyDescent="0.2">
      <c r="A919" s="1"/>
      <c r="K919" s="27"/>
      <c r="M919" s="27"/>
      <c r="N919" s="27"/>
      <c r="O919" s="27"/>
    </row>
    <row r="920" spans="1:15" ht="12.75" x14ac:dyDescent="0.2">
      <c r="A920" s="1"/>
      <c r="K920" s="27"/>
      <c r="M920" s="27"/>
      <c r="N920" s="27"/>
      <c r="O920" s="27"/>
    </row>
    <row r="921" spans="1:15" ht="12.75" x14ac:dyDescent="0.2">
      <c r="A921" s="1"/>
      <c r="K921" s="27"/>
      <c r="M921" s="27"/>
      <c r="N921" s="27"/>
      <c r="O921" s="27"/>
    </row>
    <row r="922" spans="1:15" ht="12.75" x14ac:dyDescent="0.2">
      <c r="A922" s="1"/>
      <c r="K922" s="27"/>
      <c r="M922" s="27"/>
      <c r="N922" s="27"/>
      <c r="O922" s="27"/>
    </row>
    <row r="923" spans="1:15" ht="12.75" x14ac:dyDescent="0.2">
      <c r="A923" s="1"/>
      <c r="K923" s="27"/>
      <c r="M923" s="27"/>
      <c r="N923" s="27"/>
      <c r="O923" s="27"/>
    </row>
    <row r="924" spans="1:15" ht="12.75" x14ac:dyDescent="0.2">
      <c r="A924" s="1"/>
      <c r="K924" s="27"/>
      <c r="M924" s="27"/>
      <c r="N924" s="27"/>
      <c r="O924" s="27"/>
    </row>
    <row r="925" spans="1:15" ht="12.75" x14ac:dyDescent="0.2">
      <c r="A925" s="1"/>
      <c r="K925" s="27"/>
      <c r="M925" s="27"/>
      <c r="N925" s="27"/>
      <c r="O925" s="27"/>
    </row>
    <row r="926" spans="1:15" ht="12.75" x14ac:dyDescent="0.2">
      <c r="A926" s="1"/>
      <c r="K926" s="27"/>
      <c r="M926" s="27"/>
      <c r="N926" s="27"/>
      <c r="O926" s="27"/>
    </row>
    <row r="927" spans="1:15" ht="12.75" x14ac:dyDescent="0.2">
      <c r="A927" s="1"/>
      <c r="K927" s="27"/>
      <c r="M927" s="27"/>
      <c r="N927" s="27"/>
      <c r="O927" s="27"/>
    </row>
    <row r="928" spans="1:15" ht="12.75" x14ac:dyDescent="0.2">
      <c r="A928" s="1"/>
      <c r="K928" s="27"/>
      <c r="M928" s="27"/>
      <c r="N928" s="27"/>
      <c r="O928" s="27"/>
    </row>
    <row r="929" spans="1:15" ht="12.75" x14ac:dyDescent="0.2">
      <c r="A929" s="1"/>
      <c r="K929" s="27"/>
      <c r="M929" s="27"/>
      <c r="N929" s="27"/>
      <c r="O929" s="27"/>
    </row>
    <row r="930" spans="1:15" ht="12.75" x14ac:dyDescent="0.2">
      <c r="A930" s="1"/>
      <c r="K930" s="27"/>
      <c r="M930" s="27"/>
      <c r="N930" s="27"/>
      <c r="O930" s="27"/>
    </row>
    <row r="931" spans="1:15" ht="12.75" x14ac:dyDescent="0.2">
      <c r="A931" s="1"/>
      <c r="K931" s="27"/>
      <c r="M931" s="27"/>
      <c r="N931" s="27"/>
      <c r="O931" s="27"/>
    </row>
    <row r="932" spans="1:15" ht="12.75" x14ac:dyDescent="0.2">
      <c r="A932" s="1"/>
      <c r="K932" s="27"/>
      <c r="M932" s="27"/>
      <c r="N932" s="27"/>
      <c r="O932" s="27"/>
    </row>
    <row r="933" spans="1:15" ht="12.75" x14ac:dyDescent="0.2">
      <c r="A933" s="1"/>
      <c r="K933" s="27"/>
      <c r="M933" s="27"/>
      <c r="N933" s="27"/>
      <c r="O933" s="27"/>
    </row>
    <row r="934" spans="1:15" ht="12.75" x14ac:dyDescent="0.2">
      <c r="A934" s="1"/>
      <c r="K934" s="27"/>
      <c r="M934" s="27"/>
      <c r="N934" s="27"/>
      <c r="O934" s="27"/>
    </row>
    <row r="935" spans="1:15" ht="12.75" x14ac:dyDescent="0.2">
      <c r="A935" s="1"/>
      <c r="K935" s="27"/>
      <c r="M935" s="27"/>
      <c r="N935" s="27"/>
      <c r="O935" s="27"/>
    </row>
    <row r="936" spans="1:15" ht="12.75" x14ac:dyDescent="0.2">
      <c r="A936" s="1"/>
      <c r="K936" s="27"/>
      <c r="M936" s="27"/>
      <c r="N936" s="27"/>
      <c r="O936" s="27"/>
    </row>
    <row r="937" spans="1:15" ht="12.75" x14ac:dyDescent="0.2">
      <c r="A937" s="1"/>
      <c r="K937" s="27"/>
      <c r="M937" s="27"/>
      <c r="N937" s="27"/>
      <c r="O937" s="27"/>
    </row>
    <row r="938" spans="1:15" ht="12.75" x14ac:dyDescent="0.2">
      <c r="A938" s="1"/>
      <c r="K938" s="27"/>
      <c r="M938" s="27"/>
      <c r="N938" s="27"/>
      <c r="O938" s="27"/>
    </row>
    <row r="939" spans="1:15" ht="12.75" x14ac:dyDescent="0.2">
      <c r="A939" s="1"/>
      <c r="K939" s="27"/>
      <c r="M939" s="27"/>
      <c r="N939" s="27"/>
      <c r="O939" s="27"/>
    </row>
    <row r="940" spans="1:15" ht="12.75" x14ac:dyDescent="0.2">
      <c r="A940" s="1"/>
      <c r="K940" s="27"/>
      <c r="M940" s="27"/>
      <c r="N940" s="27"/>
      <c r="O940" s="27"/>
    </row>
    <row r="941" spans="1:15" ht="12.75" x14ac:dyDescent="0.2">
      <c r="A941" s="1"/>
      <c r="K941" s="27"/>
      <c r="M941" s="27"/>
      <c r="N941" s="27"/>
      <c r="O941" s="27"/>
    </row>
    <row r="942" spans="1:15" ht="12.75" x14ac:dyDescent="0.2">
      <c r="A942" s="1"/>
      <c r="K942" s="27"/>
      <c r="M942" s="27"/>
      <c r="N942" s="27"/>
      <c r="O942" s="27"/>
    </row>
    <row r="943" spans="1:15" ht="12.75" x14ac:dyDescent="0.2">
      <c r="A943" s="1"/>
      <c r="K943" s="27"/>
      <c r="M943" s="27"/>
      <c r="N943" s="27"/>
      <c r="O943" s="27"/>
    </row>
    <row r="944" spans="1:15" ht="12.75" x14ac:dyDescent="0.2">
      <c r="A944" s="1"/>
      <c r="K944" s="27"/>
      <c r="M944" s="27"/>
      <c r="N944" s="27"/>
      <c r="O944" s="27"/>
    </row>
    <row r="945" spans="1:15" ht="12.75" x14ac:dyDescent="0.2">
      <c r="A945" s="1"/>
      <c r="K945" s="27"/>
      <c r="M945" s="27"/>
      <c r="N945" s="27"/>
      <c r="O945" s="27"/>
    </row>
    <row r="946" spans="1:15" ht="12.75" x14ac:dyDescent="0.2">
      <c r="A946" s="1"/>
      <c r="K946" s="27"/>
      <c r="M946" s="27"/>
      <c r="N946" s="27"/>
      <c r="O946" s="27"/>
    </row>
    <row r="947" spans="1:15" ht="12.75" x14ac:dyDescent="0.2">
      <c r="A947" s="1"/>
      <c r="K947" s="27"/>
      <c r="M947" s="27"/>
      <c r="N947" s="27"/>
      <c r="O947" s="27"/>
    </row>
    <row r="948" spans="1:15" ht="12.75" x14ac:dyDescent="0.2">
      <c r="A948" s="1"/>
      <c r="K948" s="27"/>
      <c r="M948" s="27"/>
      <c r="N948" s="27"/>
      <c r="O948" s="27"/>
    </row>
    <row r="949" spans="1:15" ht="12.75" x14ac:dyDescent="0.2">
      <c r="A949" s="1"/>
      <c r="K949" s="27"/>
      <c r="M949" s="27"/>
      <c r="N949" s="27"/>
      <c r="O949" s="27"/>
    </row>
    <row r="950" spans="1:15" ht="12.75" x14ac:dyDescent="0.2">
      <c r="A950" s="1"/>
      <c r="K950" s="27"/>
      <c r="M950" s="27"/>
      <c r="N950" s="27"/>
      <c r="O950" s="27"/>
    </row>
    <row r="951" spans="1:15" ht="12.75" x14ac:dyDescent="0.2">
      <c r="A951" s="1"/>
      <c r="K951" s="27"/>
      <c r="M951" s="27"/>
      <c r="N951" s="27"/>
      <c r="O951" s="27"/>
    </row>
    <row r="952" spans="1:15" ht="12.75" x14ac:dyDescent="0.2">
      <c r="A952" s="1"/>
      <c r="K952" s="27"/>
      <c r="M952" s="27"/>
      <c r="N952" s="27"/>
      <c r="O952" s="27"/>
    </row>
    <row r="953" spans="1:15" ht="12.75" x14ac:dyDescent="0.2">
      <c r="A953" s="1"/>
      <c r="K953" s="27"/>
      <c r="M953" s="27"/>
      <c r="N953" s="27"/>
      <c r="O953" s="27"/>
    </row>
    <row r="954" spans="1:15" ht="12.75" x14ac:dyDescent="0.2">
      <c r="A954" s="1"/>
      <c r="K954" s="27"/>
      <c r="M954" s="27"/>
      <c r="N954" s="27"/>
      <c r="O954" s="27"/>
    </row>
    <row r="955" spans="1:15" ht="12.75" x14ac:dyDescent="0.2">
      <c r="A955" s="1"/>
      <c r="K955" s="27"/>
      <c r="M955" s="27"/>
      <c r="N955" s="27"/>
      <c r="O955" s="27"/>
    </row>
    <row r="956" spans="1:15" ht="12.75" x14ac:dyDescent="0.2">
      <c r="A956" s="1"/>
      <c r="K956" s="27"/>
      <c r="M956" s="27"/>
      <c r="N956" s="27"/>
      <c r="O956" s="27"/>
    </row>
    <row r="957" spans="1:15" ht="12.75" x14ac:dyDescent="0.2">
      <c r="A957" s="1"/>
      <c r="K957" s="27"/>
      <c r="M957" s="27"/>
      <c r="N957" s="27"/>
      <c r="O957" s="27"/>
    </row>
    <row r="958" spans="1:15" ht="12.75" x14ac:dyDescent="0.2">
      <c r="A958" s="1"/>
      <c r="K958" s="27"/>
      <c r="M958" s="27"/>
      <c r="N958" s="27"/>
      <c r="O958" s="27"/>
    </row>
    <row r="959" spans="1:15" ht="12.75" x14ac:dyDescent="0.2">
      <c r="A959" s="1"/>
      <c r="K959" s="27"/>
      <c r="M959" s="27"/>
      <c r="N959" s="27"/>
      <c r="O959" s="27"/>
    </row>
    <row r="960" spans="1:15" ht="12.75" x14ac:dyDescent="0.2">
      <c r="A960" s="1"/>
      <c r="K960" s="27"/>
      <c r="M960" s="27"/>
      <c r="N960" s="27"/>
      <c r="O960" s="27"/>
    </row>
    <row r="961" spans="1:15" ht="12.75" x14ac:dyDescent="0.2">
      <c r="A961" s="1"/>
      <c r="K961" s="27"/>
      <c r="M961" s="27"/>
      <c r="N961" s="27"/>
      <c r="O961" s="27"/>
    </row>
    <row r="962" spans="1:15" ht="12.75" x14ac:dyDescent="0.2">
      <c r="A962" s="1"/>
      <c r="K962" s="27"/>
      <c r="M962" s="27"/>
      <c r="N962" s="27"/>
      <c r="O962" s="27"/>
    </row>
    <row r="963" spans="1:15" ht="12.75" x14ac:dyDescent="0.2">
      <c r="A963" s="1"/>
      <c r="K963" s="27"/>
      <c r="M963" s="27"/>
      <c r="N963" s="27"/>
      <c r="O963" s="27"/>
    </row>
    <row r="964" spans="1:15" ht="12.75" x14ac:dyDescent="0.2">
      <c r="A964" s="1"/>
      <c r="K964" s="27"/>
      <c r="M964" s="27"/>
      <c r="N964" s="27"/>
      <c r="O964" s="27"/>
    </row>
    <row r="965" spans="1:15" ht="12.75" x14ac:dyDescent="0.2">
      <c r="A965" s="1"/>
      <c r="K965" s="27"/>
      <c r="M965" s="27"/>
      <c r="N965" s="27"/>
      <c r="O965" s="27"/>
    </row>
    <row r="966" spans="1:15" ht="12.75" x14ac:dyDescent="0.2">
      <c r="A966" s="1"/>
      <c r="K966" s="27"/>
      <c r="M966" s="27"/>
      <c r="N966" s="27"/>
      <c r="O966" s="27"/>
    </row>
    <row r="967" spans="1:15" ht="12.75" x14ac:dyDescent="0.2">
      <c r="A967" s="1"/>
      <c r="K967" s="27"/>
      <c r="M967" s="27"/>
      <c r="N967" s="27"/>
      <c r="O967" s="27"/>
    </row>
    <row r="968" spans="1:15" ht="12.75" x14ac:dyDescent="0.2">
      <c r="A968" s="1"/>
      <c r="K968" s="27"/>
      <c r="M968" s="27"/>
      <c r="N968" s="27"/>
      <c r="O968" s="27"/>
    </row>
    <row r="969" spans="1:15" ht="12.75" x14ac:dyDescent="0.2">
      <c r="A969" s="1"/>
      <c r="K969" s="27"/>
      <c r="M969" s="27"/>
      <c r="N969" s="27"/>
      <c r="O969" s="27"/>
    </row>
    <row r="970" spans="1:15" ht="12.75" x14ac:dyDescent="0.2">
      <c r="A970" s="1"/>
      <c r="K970" s="27"/>
      <c r="M970" s="27"/>
      <c r="N970" s="27"/>
      <c r="O970" s="27"/>
    </row>
    <row r="971" spans="1:15" ht="12.75" x14ac:dyDescent="0.2">
      <c r="A971" s="1"/>
      <c r="K971" s="27"/>
      <c r="M971" s="27"/>
      <c r="N971" s="27"/>
      <c r="O971" s="27"/>
    </row>
    <row r="972" spans="1:15" ht="12.75" x14ac:dyDescent="0.2">
      <c r="A972" s="1"/>
      <c r="K972" s="27"/>
      <c r="M972" s="27"/>
      <c r="N972" s="27"/>
      <c r="O972" s="27"/>
    </row>
    <row r="973" spans="1:15" ht="12.75" x14ac:dyDescent="0.2">
      <c r="A973" s="1"/>
      <c r="K973" s="27"/>
      <c r="M973" s="27"/>
      <c r="N973" s="27"/>
      <c r="O973" s="27"/>
    </row>
    <row r="974" spans="1:15" ht="12.75" x14ac:dyDescent="0.2">
      <c r="A974" s="1"/>
      <c r="K974" s="27"/>
      <c r="M974" s="27"/>
      <c r="N974" s="27"/>
      <c r="O974" s="27"/>
    </row>
    <row r="975" spans="1:15" ht="12.75" x14ac:dyDescent="0.2">
      <c r="A975" s="1"/>
      <c r="K975" s="27"/>
      <c r="M975" s="27"/>
      <c r="N975" s="27"/>
      <c r="O975" s="27"/>
    </row>
    <row r="976" spans="1:15" ht="12.75" x14ac:dyDescent="0.2">
      <c r="A976" s="1"/>
      <c r="K976" s="27"/>
      <c r="M976" s="27"/>
      <c r="N976" s="27"/>
      <c r="O976" s="27"/>
    </row>
    <row r="977" spans="1:15" ht="12.75" x14ac:dyDescent="0.2">
      <c r="A977" s="1"/>
      <c r="K977" s="27"/>
      <c r="M977" s="27"/>
      <c r="N977" s="27"/>
      <c r="O977" s="27"/>
    </row>
    <row r="978" spans="1:15" ht="12.75" x14ac:dyDescent="0.2">
      <c r="A978" s="1"/>
      <c r="K978" s="27"/>
      <c r="M978" s="27"/>
      <c r="N978" s="27"/>
      <c r="O978" s="27"/>
    </row>
    <row r="979" spans="1:15" ht="12.75" x14ac:dyDescent="0.2">
      <c r="A979" s="1"/>
      <c r="K979" s="27"/>
      <c r="M979" s="27"/>
      <c r="N979" s="27"/>
      <c r="O979" s="27"/>
    </row>
    <row r="980" spans="1:15" ht="12.75" x14ac:dyDescent="0.2">
      <c r="A980" s="1"/>
      <c r="K980" s="27"/>
      <c r="M980" s="27"/>
      <c r="N980" s="27"/>
      <c r="O980" s="27"/>
    </row>
    <row r="981" spans="1:15" ht="12.75" x14ac:dyDescent="0.2">
      <c r="A981" s="1"/>
      <c r="K981" s="27"/>
      <c r="M981" s="27"/>
      <c r="N981" s="27"/>
      <c r="O981" s="27"/>
    </row>
    <row r="982" spans="1:15" ht="12.75" x14ac:dyDescent="0.2">
      <c r="A982" s="1"/>
      <c r="K982" s="27"/>
      <c r="M982" s="27"/>
      <c r="N982" s="27"/>
      <c r="O982" s="27"/>
    </row>
    <row r="983" spans="1:15" ht="12.75" x14ac:dyDescent="0.2">
      <c r="A983" s="1"/>
      <c r="K983" s="27"/>
      <c r="M983" s="27"/>
      <c r="N983" s="27"/>
      <c r="O983" s="27"/>
    </row>
    <row r="984" spans="1:15" ht="12.75" x14ac:dyDescent="0.2">
      <c r="A984" s="1"/>
      <c r="K984" s="27"/>
      <c r="M984" s="27"/>
      <c r="N984" s="27"/>
      <c r="O984" s="27"/>
    </row>
    <row r="985" spans="1:15" ht="12.75" x14ac:dyDescent="0.2">
      <c r="A985" s="1"/>
      <c r="K985" s="27"/>
      <c r="M985" s="27"/>
      <c r="N985" s="27"/>
      <c r="O985" s="27"/>
    </row>
    <row r="986" spans="1:15" ht="12.75" x14ac:dyDescent="0.2">
      <c r="A986" s="1"/>
      <c r="K986" s="27"/>
      <c r="M986" s="27"/>
      <c r="N986" s="27"/>
      <c r="O986" s="27"/>
    </row>
    <row r="987" spans="1:15" ht="12.75" x14ac:dyDescent="0.2">
      <c r="A987" s="1"/>
      <c r="K987" s="27"/>
      <c r="M987" s="27"/>
      <c r="N987" s="27"/>
      <c r="O987" s="27"/>
    </row>
    <row r="988" spans="1:15" ht="12.75" x14ac:dyDescent="0.2">
      <c r="A988" s="1"/>
      <c r="K988" s="27"/>
      <c r="M988" s="27"/>
      <c r="N988" s="27"/>
      <c r="O988" s="27"/>
    </row>
    <row r="989" spans="1:15" ht="12.75" x14ac:dyDescent="0.2">
      <c r="A989" s="1"/>
      <c r="K989" s="27"/>
      <c r="M989" s="27"/>
      <c r="N989" s="27"/>
      <c r="O989" s="27"/>
    </row>
    <row r="990" spans="1:15" ht="12.75" x14ac:dyDescent="0.2">
      <c r="A990" s="1"/>
      <c r="K990" s="27"/>
      <c r="M990" s="27"/>
      <c r="N990" s="27"/>
      <c r="O990" s="27"/>
    </row>
    <row r="991" spans="1:15" ht="12.75" x14ac:dyDescent="0.2">
      <c r="A991" s="1"/>
      <c r="K991" s="27"/>
      <c r="M991" s="27"/>
      <c r="N991" s="27"/>
      <c r="O991" s="27"/>
    </row>
    <row r="992" spans="1:15" ht="12.75" x14ac:dyDescent="0.2">
      <c r="A992" s="1"/>
      <c r="K992" s="27"/>
      <c r="M992" s="27"/>
      <c r="N992" s="27"/>
      <c r="O992" s="27"/>
    </row>
    <row r="993" spans="1:15" ht="15.75" customHeight="1" x14ac:dyDescent="0.2">
      <c r="A993" s="1"/>
      <c r="K993" s="27"/>
      <c r="M993" s="27"/>
      <c r="N993" s="27"/>
      <c r="O993" s="27"/>
    </row>
    <row r="994" spans="1:15" ht="15.75" customHeight="1" x14ac:dyDescent="0.2">
      <c r="A994" s="1"/>
    </row>
    <row r="995" spans="1:15" ht="15.75" customHeight="1" x14ac:dyDescent="0.2">
      <c r="A995" s="1"/>
    </row>
    <row r="996" spans="1:15" ht="15.75" customHeight="1" x14ac:dyDescent="0.2">
      <c r="A996" s="1"/>
    </row>
  </sheetData>
  <mergeCells count="1">
    <mergeCell ref="Q1:R1"/>
  </mergeCells>
  <dataValidations count="1">
    <dataValidation type="list" allowBlank="1" showInputMessage="1" showErrorMessage="1" sqref="G2:G43" xr:uid="{04233FC9-C934-4479-9780-85279C5931EB}">
      <formula1>$T$2:$T$3</formula1>
    </dataValidation>
  </dataValidations>
  <pageMargins left="0.7" right="0.7" top="0.75" bottom="0.75" header="0.3" footer="0.3"/>
  <pageSetup paperSize="9" orientation="portrait" horizontalDpi="4294967293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3160DC-3B62-4C3F-BEC9-77E30A226B46}">
          <x14:formula1>
            <xm:f>Validations!$B$2:$B$7</xm:f>
          </x14:formula1>
          <xm:sqref>E2:E1048576</xm:sqref>
        </x14:dataValidation>
        <x14:dataValidation type="list" allowBlank="1" showInputMessage="1" showErrorMessage="1" xr:uid="{32793E54-1767-4F04-8DE1-7A8B731B6DBC}">
          <x14:formula1>
            <xm:f>Validations!$A$2:$A$11</xm:f>
          </x14:formula1>
          <xm:sqref>D1:D43</xm:sqref>
        </x14:dataValidation>
        <x14:dataValidation type="list" allowBlank="1" showInputMessage="1" showErrorMessage="1" xr:uid="{4C44718D-ABD7-420F-9013-FAB6B57CC98D}">
          <x14:formula1>
            <xm:f>Validations!$F$2:$F$4</xm:f>
          </x14:formula1>
          <xm:sqref>G44:G1048576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E2CC-CB7F-4C28-B4CB-693CDD2514B5}">
  <dimension ref="A1:P25"/>
  <sheetViews>
    <sheetView workbookViewId="0">
      <selection activeCell="G33" sqref="G33"/>
    </sheetView>
  </sheetViews>
  <sheetFormatPr defaultRowHeight="12.75" x14ac:dyDescent="0.2"/>
  <cols>
    <col min="1" max="1" width="26.7109375" bestFit="1" customWidth="1"/>
    <col min="2" max="2" width="13.28515625" style="18" bestFit="1" customWidth="1"/>
    <col min="3" max="3" width="6.42578125" bestFit="1" customWidth="1"/>
    <col min="4" max="4" width="11.5703125" style="18" bestFit="1" customWidth="1"/>
    <col min="5" max="5" width="12" style="18" bestFit="1" customWidth="1"/>
    <col min="6" max="6" width="11" style="18" bestFit="1" customWidth="1"/>
    <col min="8" max="9" width="11.5703125" bestFit="1" customWidth="1"/>
    <col min="10" max="10" width="12.28515625" bestFit="1" customWidth="1"/>
    <col min="12" max="12" width="11.5703125" bestFit="1" customWidth="1"/>
    <col min="13" max="13" width="10.28515625" bestFit="1" customWidth="1"/>
    <col min="14" max="14" width="11.5703125" bestFit="1" customWidth="1"/>
    <col min="15" max="15" width="15.5703125" bestFit="1" customWidth="1"/>
    <col min="16" max="16" width="13.42578125" bestFit="1" customWidth="1"/>
  </cols>
  <sheetData>
    <row r="1" spans="1:16" x14ac:dyDescent="0.2">
      <c r="A1" s="47" t="s">
        <v>92</v>
      </c>
      <c r="B1" s="66" t="s">
        <v>639</v>
      </c>
      <c r="C1" s="66" t="s">
        <v>640</v>
      </c>
      <c r="D1" s="66" t="s">
        <v>202</v>
      </c>
      <c r="E1" s="66" t="s">
        <v>641</v>
      </c>
      <c r="F1" s="66" t="s">
        <v>642</v>
      </c>
      <c r="G1" s="66" t="s">
        <v>643</v>
      </c>
      <c r="H1" s="66" t="s">
        <v>202</v>
      </c>
      <c r="I1" s="66" t="s">
        <v>641</v>
      </c>
      <c r="J1" s="66" t="s">
        <v>642</v>
      </c>
      <c r="K1" s="66" t="s">
        <v>644</v>
      </c>
      <c r="L1" s="66" t="s">
        <v>202</v>
      </c>
      <c r="M1" s="66" t="s">
        <v>641</v>
      </c>
      <c r="N1" s="66" t="s">
        <v>642</v>
      </c>
      <c r="O1" s="66" t="s">
        <v>645</v>
      </c>
      <c r="P1" s="66" t="s">
        <v>646</v>
      </c>
    </row>
    <row r="2" spans="1:16" x14ac:dyDescent="0.2">
      <c r="A2" t="s">
        <v>135</v>
      </c>
      <c r="B2" s="18">
        <v>75000</v>
      </c>
      <c r="C2" s="35">
        <v>0.4</v>
      </c>
      <c r="D2" s="18">
        <f>C2*B2</f>
        <v>30000</v>
      </c>
      <c r="E2" s="18">
        <v>22500</v>
      </c>
      <c r="F2" s="67">
        <f>D2-E2</f>
        <v>7500</v>
      </c>
      <c r="G2" s="35">
        <v>0.3</v>
      </c>
      <c r="H2" s="18">
        <f>G2*$B$2</f>
        <v>22500</v>
      </c>
      <c r="I2" s="18">
        <v>0</v>
      </c>
      <c r="J2" s="67">
        <f>H2-I2</f>
        <v>22500</v>
      </c>
      <c r="K2" s="35">
        <v>0.3</v>
      </c>
      <c r="L2" s="18">
        <f>K2*$B$2</f>
        <v>22500</v>
      </c>
      <c r="M2" s="18">
        <v>0</v>
      </c>
      <c r="N2" s="18">
        <f>L2-M2</f>
        <v>22500</v>
      </c>
      <c r="O2" s="67">
        <f>F2+J2</f>
        <v>30000</v>
      </c>
      <c r="P2" s="30">
        <f>N2+J2+F2</f>
        <v>52500</v>
      </c>
    </row>
    <row r="5" spans="1:16" x14ac:dyDescent="0.2">
      <c r="A5" s="47" t="s">
        <v>92</v>
      </c>
      <c r="B5" s="66" t="s">
        <v>639</v>
      </c>
      <c r="C5" s="66" t="s">
        <v>640</v>
      </c>
      <c r="D5" s="66" t="s">
        <v>202</v>
      </c>
      <c r="E5" s="66" t="s">
        <v>641</v>
      </c>
      <c r="F5" s="66" t="s">
        <v>642</v>
      </c>
      <c r="G5" s="66" t="s">
        <v>643</v>
      </c>
      <c r="H5" s="66" t="s">
        <v>202</v>
      </c>
      <c r="I5" s="66" t="s">
        <v>641</v>
      </c>
      <c r="J5" s="66" t="s">
        <v>642</v>
      </c>
      <c r="K5" s="66" t="s">
        <v>644</v>
      </c>
      <c r="L5" s="66" t="s">
        <v>202</v>
      </c>
      <c r="M5" s="66" t="s">
        <v>641</v>
      </c>
      <c r="N5" s="66" t="s">
        <v>642</v>
      </c>
      <c r="O5" s="66" t="s">
        <v>645</v>
      </c>
      <c r="P5" s="66" t="s">
        <v>646</v>
      </c>
    </row>
    <row r="6" spans="1:16" x14ac:dyDescent="0.2">
      <c r="A6" t="s">
        <v>135</v>
      </c>
      <c r="B6" s="18">
        <v>108000</v>
      </c>
      <c r="C6" s="35">
        <v>0.4</v>
      </c>
      <c r="D6" s="18">
        <f>C6*B6</f>
        <v>43200</v>
      </c>
      <c r="E6" s="18">
        <v>39000</v>
      </c>
      <c r="F6" s="67">
        <f>D6-E6</f>
        <v>4200</v>
      </c>
      <c r="G6" s="35">
        <v>0.3</v>
      </c>
      <c r="H6" s="18">
        <f>G6*$B$2</f>
        <v>22500</v>
      </c>
      <c r="I6" s="18">
        <v>0</v>
      </c>
      <c r="J6" s="67">
        <f>H6-I6</f>
        <v>22500</v>
      </c>
      <c r="K6" s="35">
        <v>0.3</v>
      </c>
      <c r="L6" s="18">
        <f>K6*$B$2</f>
        <v>22500</v>
      </c>
      <c r="M6" s="18">
        <v>0</v>
      </c>
      <c r="N6" s="18">
        <f>L6-M6</f>
        <v>22500</v>
      </c>
      <c r="O6" s="67">
        <f>F6+J6</f>
        <v>26700</v>
      </c>
      <c r="P6" s="30">
        <f>N6+J6+F6</f>
        <v>49200</v>
      </c>
    </row>
    <row r="8" spans="1:16" x14ac:dyDescent="0.2">
      <c r="A8" t="s">
        <v>10</v>
      </c>
      <c r="B8" s="18">
        <f>B6</f>
        <v>108000</v>
      </c>
    </row>
    <row r="9" spans="1:16" x14ac:dyDescent="0.2">
      <c r="A9" s="57" t="s">
        <v>647</v>
      </c>
      <c r="B9" s="18">
        <f>E6</f>
        <v>39000</v>
      </c>
    </row>
    <row r="10" spans="1:16" x14ac:dyDescent="0.2">
      <c r="A10" s="57" t="s">
        <v>646</v>
      </c>
      <c r="B10" s="18">
        <f>B8-B9</f>
        <v>69000</v>
      </c>
    </row>
    <row r="11" spans="1:16" x14ac:dyDescent="0.2">
      <c r="A11" s="57" t="s">
        <v>648</v>
      </c>
      <c r="B11" s="18">
        <v>34000</v>
      </c>
    </row>
    <row r="12" spans="1:16" x14ac:dyDescent="0.2">
      <c r="A12" s="57" t="s">
        <v>649</v>
      </c>
      <c r="B12" s="18">
        <f>B8-B9-B11</f>
        <v>35000</v>
      </c>
    </row>
    <row r="18" spans="1:16" x14ac:dyDescent="0.2">
      <c r="A18" s="47" t="s">
        <v>92</v>
      </c>
      <c r="B18" s="66" t="s">
        <v>639</v>
      </c>
      <c r="C18" s="66" t="s">
        <v>640</v>
      </c>
      <c r="D18" s="66" t="s">
        <v>202</v>
      </c>
      <c r="E18" s="66" t="s">
        <v>641</v>
      </c>
      <c r="F18" s="66" t="s">
        <v>642</v>
      </c>
      <c r="G18" s="66" t="s">
        <v>643</v>
      </c>
      <c r="H18" s="66" t="s">
        <v>202</v>
      </c>
      <c r="I18" s="66" t="s">
        <v>641</v>
      </c>
      <c r="J18" s="66" t="s">
        <v>642</v>
      </c>
      <c r="K18" s="66" t="s">
        <v>644</v>
      </c>
      <c r="L18" s="66" t="s">
        <v>202</v>
      </c>
      <c r="M18" s="66" t="s">
        <v>641</v>
      </c>
      <c r="N18" s="66" t="s">
        <v>642</v>
      </c>
      <c r="O18" s="66" t="s">
        <v>645</v>
      </c>
      <c r="P18" s="66" t="s">
        <v>646</v>
      </c>
    </row>
    <row r="19" spans="1:16" x14ac:dyDescent="0.2">
      <c r="A19" t="s">
        <v>650</v>
      </c>
      <c r="B19" s="18">
        <v>100000</v>
      </c>
      <c r="C19" s="35">
        <v>0.4</v>
      </c>
      <c r="D19" s="18">
        <f>C19*B19</f>
        <v>40000</v>
      </c>
      <c r="E19" s="18">
        <v>40000</v>
      </c>
      <c r="F19" s="67">
        <f>D19-E19</f>
        <v>0</v>
      </c>
      <c r="G19" s="35">
        <v>0.3</v>
      </c>
      <c r="H19" s="18">
        <v>30000</v>
      </c>
      <c r="I19" s="18">
        <v>0</v>
      </c>
      <c r="J19" s="67">
        <f>H19-I19</f>
        <v>30000</v>
      </c>
      <c r="K19" s="35">
        <v>0.3</v>
      </c>
      <c r="L19" s="18">
        <v>30000</v>
      </c>
      <c r="M19" s="18">
        <v>0</v>
      </c>
      <c r="N19" s="18">
        <f>L19-M19</f>
        <v>30000</v>
      </c>
      <c r="O19" s="67">
        <f>F19+J19</f>
        <v>30000</v>
      </c>
      <c r="P19" s="30">
        <f>N19+J19+F19</f>
        <v>60000</v>
      </c>
    </row>
    <row r="21" spans="1:16" x14ac:dyDescent="0.2">
      <c r="A21" t="s">
        <v>10</v>
      </c>
      <c r="B21" s="18">
        <f>B19</f>
        <v>100000</v>
      </c>
    </row>
    <row r="22" spans="1:16" x14ac:dyDescent="0.2">
      <c r="A22" s="57" t="s">
        <v>647</v>
      </c>
      <c r="B22" s="18">
        <f>E19</f>
        <v>40000</v>
      </c>
    </row>
    <row r="23" spans="1:16" x14ac:dyDescent="0.2">
      <c r="A23" s="57" t="s">
        <v>646</v>
      </c>
      <c r="B23" s="18">
        <f>B21-B22</f>
        <v>60000</v>
      </c>
    </row>
    <row r="24" spans="1:16" x14ac:dyDescent="0.2">
      <c r="A24" s="57" t="s">
        <v>648</v>
      </c>
      <c r="B24" s="67">
        <f>H19</f>
        <v>30000</v>
      </c>
    </row>
    <row r="25" spans="1:16" x14ac:dyDescent="0.2">
      <c r="A25" s="57" t="s">
        <v>649</v>
      </c>
      <c r="B25" s="18">
        <f>B21-B22-B24</f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C83D-A1FC-45FE-9018-5548D064DE2E}">
  <dimension ref="A1:R52"/>
  <sheetViews>
    <sheetView zoomScale="111" workbookViewId="0">
      <selection activeCell="B8" sqref="B8"/>
    </sheetView>
  </sheetViews>
  <sheetFormatPr defaultRowHeight="12.75" x14ac:dyDescent="0.2"/>
  <cols>
    <col min="1" max="1" width="22.7109375" customWidth="1"/>
    <col min="2" max="2" width="12.28515625" bestFit="1" customWidth="1"/>
    <col min="3" max="3" width="17.28515625" bestFit="1" customWidth="1"/>
    <col min="4" max="4" width="13.42578125" bestFit="1" customWidth="1"/>
    <col min="5" max="5" width="16.5703125" bestFit="1" customWidth="1"/>
    <col min="6" max="6" width="15.5703125" bestFit="1" customWidth="1"/>
    <col min="7" max="7" width="13.5703125" bestFit="1" customWidth="1"/>
    <col min="11" max="11" width="13" bestFit="1" customWidth="1"/>
    <col min="14" max="14" width="10.42578125" bestFit="1" customWidth="1"/>
    <col min="16" max="16" width="5" bestFit="1" customWidth="1"/>
    <col min="17" max="17" width="45.140625" customWidth="1"/>
    <col min="18" max="18" width="27.140625" bestFit="1" customWidth="1"/>
  </cols>
  <sheetData>
    <row r="1" spans="1:18" ht="20.25" x14ac:dyDescent="0.3">
      <c r="A1" s="53" t="s">
        <v>651</v>
      </c>
      <c r="B1" s="53" t="s">
        <v>91</v>
      </c>
      <c r="C1" s="46" t="s">
        <v>199</v>
      </c>
      <c r="D1" s="46" t="s">
        <v>652</v>
      </c>
      <c r="E1" s="46" t="s">
        <v>653</v>
      </c>
      <c r="F1" s="46" t="s">
        <v>596</v>
      </c>
      <c r="G1" s="47" t="s">
        <v>654</v>
      </c>
      <c r="I1" s="47" t="s">
        <v>35</v>
      </c>
      <c r="J1" s="47" t="s">
        <v>655</v>
      </c>
      <c r="K1" s="47" t="s">
        <v>656</v>
      </c>
      <c r="M1" s="97" t="s">
        <v>657</v>
      </c>
      <c r="N1" s="26">
        <v>46050</v>
      </c>
      <c r="P1" s="154" t="s">
        <v>658</v>
      </c>
      <c r="Q1" s="154"/>
      <c r="R1" s="154"/>
    </row>
    <row r="2" spans="1:18" ht="15" x14ac:dyDescent="0.25">
      <c r="A2" t="s">
        <v>106</v>
      </c>
      <c r="B2" s="57" t="s">
        <v>105</v>
      </c>
      <c r="C2" s="6" t="s">
        <v>69</v>
      </c>
      <c r="D2" s="57" t="s">
        <v>97</v>
      </c>
      <c r="E2" t="s">
        <v>104</v>
      </c>
      <c r="F2" s="57" t="s">
        <v>22</v>
      </c>
      <c r="G2" s="57" t="s">
        <v>659</v>
      </c>
      <c r="I2" t="s">
        <v>625</v>
      </c>
      <c r="K2" s="26">
        <v>46022</v>
      </c>
      <c r="P2" s="107" t="s">
        <v>0</v>
      </c>
      <c r="Q2" s="107" t="s">
        <v>660</v>
      </c>
      <c r="R2" s="107" t="s">
        <v>661</v>
      </c>
    </row>
    <row r="3" spans="1:18" x14ac:dyDescent="0.2">
      <c r="A3" t="s">
        <v>662</v>
      </c>
      <c r="B3" t="s">
        <v>78</v>
      </c>
      <c r="C3" s="6" t="s">
        <v>214</v>
      </c>
      <c r="D3" t="s">
        <v>125</v>
      </c>
      <c r="E3" t="s">
        <v>111</v>
      </c>
      <c r="F3" s="57" t="s">
        <v>216</v>
      </c>
      <c r="G3" s="57" t="s">
        <v>663</v>
      </c>
      <c r="I3" t="s">
        <v>626</v>
      </c>
      <c r="K3" s="26">
        <v>46022</v>
      </c>
      <c r="P3" s="15">
        <v>1</v>
      </c>
      <c r="Q3" t="s">
        <v>664</v>
      </c>
      <c r="R3" s="108">
        <v>2000000</v>
      </c>
    </row>
    <row r="4" spans="1:18" x14ac:dyDescent="0.2">
      <c r="A4" t="s">
        <v>98</v>
      </c>
      <c r="B4" s="57" t="s">
        <v>50</v>
      </c>
      <c r="C4" s="6" t="s">
        <v>665</v>
      </c>
      <c r="D4" s="57" t="s">
        <v>99</v>
      </c>
      <c r="E4" t="s">
        <v>118</v>
      </c>
      <c r="F4" s="57" t="s">
        <v>25</v>
      </c>
      <c r="G4" s="57" t="s">
        <v>666</v>
      </c>
      <c r="P4" s="15">
        <v>2</v>
      </c>
      <c r="Q4" t="s">
        <v>667</v>
      </c>
      <c r="R4" s="108">
        <v>1000000</v>
      </c>
    </row>
    <row r="5" spans="1:18" x14ac:dyDescent="0.2">
      <c r="A5" t="s">
        <v>668</v>
      </c>
      <c r="B5" s="57" t="s">
        <v>99</v>
      </c>
      <c r="C5" s="6" t="s">
        <v>218</v>
      </c>
      <c r="E5" t="s">
        <v>123</v>
      </c>
      <c r="G5" s="57" t="s">
        <v>669</v>
      </c>
      <c r="P5" s="15">
        <v>3</v>
      </c>
      <c r="Q5" t="s">
        <v>670</v>
      </c>
      <c r="R5" s="16" t="s">
        <v>671</v>
      </c>
    </row>
    <row r="6" spans="1:18" x14ac:dyDescent="0.2">
      <c r="A6" t="s">
        <v>119</v>
      </c>
      <c r="B6" s="57" t="s">
        <v>672</v>
      </c>
      <c r="C6" s="6" t="s">
        <v>220</v>
      </c>
      <c r="E6" t="s">
        <v>129</v>
      </c>
      <c r="G6" s="57" t="s">
        <v>673</v>
      </c>
      <c r="P6" s="15">
        <v>4</v>
      </c>
      <c r="Q6" t="s">
        <v>674</v>
      </c>
      <c r="R6" s="16" t="s">
        <v>675</v>
      </c>
    </row>
    <row r="7" spans="1:18" x14ac:dyDescent="0.2">
      <c r="A7" t="s">
        <v>114</v>
      </c>
      <c r="B7" s="57" t="s">
        <v>195</v>
      </c>
      <c r="C7" s="6" t="s">
        <v>223</v>
      </c>
      <c r="E7" t="s">
        <v>162</v>
      </c>
      <c r="G7" s="57" t="s">
        <v>81</v>
      </c>
      <c r="P7" s="15">
        <v>5</v>
      </c>
      <c r="Q7" t="s">
        <v>676</v>
      </c>
      <c r="R7">
        <v>5</v>
      </c>
    </row>
    <row r="8" spans="1:18" x14ac:dyDescent="0.2">
      <c r="A8" t="s">
        <v>112</v>
      </c>
      <c r="C8" s="6" t="s">
        <v>239</v>
      </c>
      <c r="G8" s="57" t="s">
        <v>677</v>
      </c>
      <c r="P8" s="15">
        <v>6</v>
      </c>
      <c r="Q8" t="s">
        <v>14</v>
      </c>
      <c r="R8" t="s">
        <v>678</v>
      </c>
    </row>
    <row r="9" spans="1:18" ht="15" x14ac:dyDescent="0.25">
      <c r="A9" t="s">
        <v>679</v>
      </c>
      <c r="C9" s="6" t="s">
        <v>255</v>
      </c>
      <c r="G9" s="57" t="s">
        <v>680</v>
      </c>
      <c r="P9" s="15">
        <v>7</v>
      </c>
      <c r="Q9" s="109" t="s">
        <v>681</v>
      </c>
      <c r="R9" t="s">
        <v>682</v>
      </c>
    </row>
    <row r="10" spans="1:18" x14ac:dyDescent="0.2">
      <c r="A10" t="s">
        <v>683</v>
      </c>
      <c r="C10" s="6" t="s">
        <v>684</v>
      </c>
    </row>
    <row r="11" spans="1:18" x14ac:dyDescent="0.2">
      <c r="A11" t="s">
        <v>685</v>
      </c>
      <c r="C11" s="6" t="s">
        <v>230</v>
      </c>
    </row>
    <row r="12" spans="1:18" ht="20.25" x14ac:dyDescent="0.3">
      <c r="C12" s="6" t="s">
        <v>247</v>
      </c>
      <c r="P12" s="154" t="s">
        <v>686</v>
      </c>
      <c r="Q12" s="154"/>
      <c r="R12" s="154"/>
    </row>
    <row r="13" spans="1:18" ht="15" x14ac:dyDescent="0.25">
      <c r="C13" s="6" t="s">
        <v>330</v>
      </c>
      <c r="P13" s="107" t="s">
        <v>0</v>
      </c>
      <c r="Q13" s="107" t="s">
        <v>687</v>
      </c>
      <c r="R13" s="107" t="s">
        <v>688</v>
      </c>
    </row>
    <row r="14" spans="1:18" x14ac:dyDescent="0.2">
      <c r="C14" s="6" t="s">
        <v>19</v>
      </c>
      <c r="P14" s="15">
        <v>1</v>
      </c>
      <c r="Q14" t="s">
        <v>22</v>
      </c>
      <c r="R14" s="35">
        <v>0.2</v>
      </c>
    </row>
    <row r="15" spans="1:18" x14ac:dyDescent="0.2">
      <c r="C15" s="6" t="s">
        <v>358</v>
      </c>
      <c r="P15" s="15">
        <v>3</v>
      </c>
      <c r="Q15" t="s">
        <v>216</v>
      </c>
      <c r="R15" s="35">
        <v>0.2</v>
      </c>
    </row>
    <row r="16" spans="1:18" x14ac:dyDescent="0.2">
      <c r="C16" s="6" t="s">
        <v>251</v>
      </c>
      <c r="P16" s="15">
        <v>4</v>
      </c>
      <c r="Q16" t="s">
        <v>182</v>
      </c>
      <c r="R16" s="35">
        <v>0.2</v>
      </c>
    </row>
    <row r="17" spans="3:18" x14ac:dyDescent="0.2">
      <c r="C17" s="6" t="s">
        <v>235</v>
      </c>
      <c r="P17" s="15">
        <v>2</v>
      </c>
      <c r="Q17" t="s">
        <v>25</v>
      </c>
      <c r="R17" s="35">
        <v>0.2</v>
      </c>
    </row>
    <row r="18" spans="3:18" x14ac:dyDescent="0.2">
      <c r="C18" s="6" t="s">
        <v>689</v>
      </c>
      <c r="P18" s="15">
        <v>5</v>
      </c>
      <c r="Q18" t="s">
        <v>690</v>
      </c>
      <c r="R18" s="35">
        <v>0.2</v>
      </c>
    </row>
    <row r="19" spans="3:18" x14ac:dyDescent="0.2">
      <c r="C19" s="6" t="s">
        <v>68</v>
      </c>
    </row>
    <row r="20" spans="3:18" ht="13.5" thickBot="1" x14ac:dyDescent="0.25">
      <c r="C20" s="6" t="s">
        <v>213</v>
      </c>
      <c r="Q20" t="s">
        <v>10</v>
      </c>
      <c r="R20" s="110">
        <v>1</v>
      </c>
    </row>
    <row r="21" spans="3:18" ht="13.5" thickTop="1" x14ac:dyDescent="0.2">
      <c r="C21" s="6" t="s">
        <v>217</v>
      </c>
    </row>
    <row r="51" spans="3:3" x14ac:dyDescent="0.2">
      <c r="C51" s="6"/>
    </row>
    <row r="52" spans="3:3" x14ac:dyDescent="0.2">
      <c r="C52" s="6"/>
    </row>
  </sheetData>
  <mergeCells count="2">
    <mergeCell ref="P1:R1"/>
    <mergeCell ref="P12:R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4DE-636A-49A8-8E48-671F410135DE}">
  <dimension ref="A1:T50"/>
  <sheetViews>
    <sheetView zoomScaleNormal="100" workbookViewId="0">
      <selection activeCell="N41" sqref="N41"/>
    </sheetView>
  </sheetViews>
  <sheetFormatPr defaultRowHeight="12.75" x14ac:dyDescent="0.2"/>
  <cols>
    <col min="2" max="2" width="12.140625" bestFit="1" customWidth="1"/>
    <col min="3" max="3" width="20.7109375" bestFit="1" customWidth="1"/>
    <col min="4" max="4" width="20.7109375" customWidth="1"/>
    <col min="5" max="5" width="20.7109375" style="18" customWidth="1"/>
    <col min="6" max="6" width="35.5703125" bestFit="1" customWidth="1"/>
    <col min="7" max="7" width="17.5703125" bestFit="1" customWidth="1"/>
    <col min="8" max="8" width="13.5703125" customWidth="1"/>
    <col min="9" max="9" width="13.5703125" hidden="1" customWidth="1"/>
    <col min="10" max="10" width="14.5703125" hidden="1" customWidth="1"/>
    <col min="11" max="11" width="16.85546875" hidden="1" customWidth="1"/>
    <col min="12" max="13" width="11.5703125" hidden="1" customWidth="1"/>
    <col min="14" max="14" width="19" bestFit="1" customWidth="1"/>
    <col min="15" max="15" width="24" bestFit="1" customWidth="1"/>
    <col min="16" max="16" width="26.85546875" style="101" hidden="1" customWidth="1"/>
    <col min="17" max="17" width="11.85546875" hidden="1" customWidth="1"/>
    <col min="18" max="18" width="15.7109375" hidden="1" customWidth="1"/>
    <col min="19" max="19" width="18" style="18" hidden="1" customWidth="1"/>
  </cols>
  <sheetData>
    <row r="1" spans="1:20" x14ac:dyDescent="0.2">
      <c r="A1" s="46" t="s">
        <v>0</v>
      </c>
      <c r="B1" s="46" t="s">
        <v>595</v>
      </c>
      <c r="C1" s="95" t="s">
        <v>596</v>
      </c>
      <c r="D1" s="95" t="s">
        <v>691</v>
      </c>
      <c r="E1" s="112" t="s">
        <v>692</v>
      </c>
      <c r="F1" s="47" t="s">
        <v>92</v>
      </c>
      <c r="G1" s="47" t="s">
        <v>87</v>
      </c>
      <c r="H1" s="47" t="s">
        <v>693</v>
      </c>
      <c r="I1" s="47" t="s">
        <v>694</v>
      </c>
      <c r="J1" s="47" t="s">
        <v>695</v>
      </c>
      <c r="K1" s="96" t="s">
        <v>696</v>
      </c>
      <c r="L1" s="96" t="s">
        <v>697</v>
      </c>
      <c r="M1" s="96" t="s">
        <v>698</v>
      </c>
      <c r="N1" s="96" t="s">
        <v>11</v>
      </c>
      <c r="O1" s="66" t="s">
        <v>699</v>
      </c>
      <c r="P1" s="66" t="s">
        <v>700</v>
      </c>
      <c r="Q1" s="96" t="s">
        <v>204</v>
      </c>
      <c r="R1" s="97" t="s">
        <v>596</v>
      </c>
      <c r="S1" s="98" t="s">
        <v>11</v>
      </c>
      <c r="T1" s="66" t="s">
        <v>205</v>
      </c>
    </row>
    <row r="2" spans="1:20" ht="12.4" hidden="1" customHeight="1" x14ac:dyDescent="0.2">
      <c r="A2" s="15">
        <v>1</v>
      </c>
      <c r="B2" s="69">
        <v>45916</v>
      </c>
      <c r="C2" s="70" t="s">
        <v>216</v>
      </c>
      <c r="D2" s="70" t="s">
        <v>701</v>
      </c>
      <c r="E2" s="113">
        <v>5000</v>
      </c>
      <c r="F2" s="57" t="s">
        <v>107</v>
      </c>
      <c r="G2" s="57" t="s">
        <v>108</v>
      </c>
      <c r="H2" s="57" t="s">
        <v>677</v>
      </c>
      <c r="I2" s="57"/>
      <c r="J2">
        <f t="shared" ref="J2:J9" ca="1" si="0">_xlfn.DAYS(TODAY(),B2)</f>
        <v>177</v>
      </c>
      <c r="K2">
        <v>60</v>
      </c>
      <c r="L2" s="69">
        <f t="shared" ref="L2:L9" si="1">K2+B2</f>
        <v>45976</v>
      </c>
      <c r="M2" t="str">
        <f t="shared" ref="M2:M9" ca="1" si="2">IF(H2&lt;&gt;"Delivered",_xlfn.DAYS(L2,TODAY()),"Delivered")</f>
        <v>Delivered</v>
      </c>
      <c r="N2" s="72">
        <f>VLOOKUP(F2,Table1[[#All],[Project Name]:[Balance(INR)]],8,0)</f>
        <v>0</v>
      </c>
      <c r="O2" s="72"/>
      <c r="P2" s="100"/>
      <c r="Q2" s="18"/>
      <c r="R2" t="s">
        <v>22</v>
      </c>
      <c r="S2" s="18">
        <f>SUMIF(C:C,R2,N:N)</f>
        <v>474388.68</v>
      </c>
    </row>
    <row r="3" spans="1:20" hidden="1" x14ac:dyDescent="0.2">
      <c r="A3" s="15">
        <f>A2+1</f>
        <v>2</v>
      </c>
      <c r="B3" s="69">
        <v>45921</v>
      </c>
      <c r="C3" s="70" t="s">
        <v>22</v>
      </c>
      <c r="D3" s="70" t="s">
        <v>702</v>
      </c>
      <c r="E3" s="113">
        <v>5000</v>
      </c>
      <c r="F3" s="57" t="s">
        <v>112</v>
      </c>
      <c r="G3" s="57" t="s">
        <v>113</v>
      </c>
      <c r="H3" s="57" t="s">
        <v>677</v>
      </c>
      <c r="I3" s="57"/>
      <c r="J3">
        <f t="shared" ca="1" si="0"/>
        <v>172</v>
      </c>
      <c r="L3" s="69">
        <f t="shared" si="1"/>
        <v>45921</v>
      </c>
      <c r="M3" t="str">
        <f t="shared" ca="1" si="2"/>
        <v>Delivered</v>
      </c>
      <c r="N3" s="72">
        <f>VLOOKUP(F3,Table1[[#All],[Project Name]:[Balance(INR)]],8,0)</f>
        <v>0</v>
      </c>
      <c r="O3" s="72"/>
      <c r="P3" s="100"/>
      <c r="Q3" s="18"/>
      <c r="R3" t="s">
        <v>25</v>
      </c>
      <c r="S3" s="18">
        <f>SUMIF(C:C,R3,N:N)</f>
        <v>751999</v>
      </c>
    </row>
    <row r="4" spans="1:20" ht="12.4" hidden="1" customHeight="1" x14ac:dyDescent="0.2">
      <c r="A4" s="15">
        <f t="shared" ref="A4:A33" si="3">A3+1</f>
        <v>3</v>
      </c>
      <c r="B4" s="69">
        <v>45926</v>
      </c>
      <c r="C4" s="70" t="s">
        <v>25</v>
      </c>
      <c r="D4" s="70" t="s">
        <v>701</v>
      </c>
      <c r="E4" s="113">
        <v>0</v>
      </c>
      <c r="F4" s="57" t="s">
        <v>174</v>
      </c>
      <c r="G4" s="57" t="s">
        <v>175</v>
      </c>
      <c r="H4" s="57" t="s">
        <v>677</v>
      </c>
      <c r="I4" s="57"/>
      <c r="J4">
        <f t="shared" ca="1" si="0"/>
        <v>167</v>
      </c>
      <c r="L4" s="69">
        <f t="shared" si="1"/>
        <v>45926</v>
      </c>
      <c r="M4" t="str">
        <f t="shared" ca="1" si="2"/>
        <v>Delivered</v>
      </c>
      <c r="N4" s="72">
        <f>VLOOKUP(F4,Table1[[#All],[Project Name]:[Balance(INR)]],8,0)</f>
        <v>0</v>
      </c>
      <c r="O4" s="72"/>
      <c r="P4" s="100"/>
      <c r="Q4" s="18"/>
      <c r="R4" t="s">
        <v>216</v>
      </c>
      <c r="S4" s="18">
        <f>SUMIF(C:C,R4,N:N)</f>
        <v>137000</v>
      </c>
    </row>
    <row r="5" spans="1:20" ht="12.4" hidden="1" customHeight="1" x14ac:dyDescent="0.2">
      <c r="A5" s="15">
        <f t="shared" si="3"/>
        <v>4</v>
      </c>
      <c r="B5" s="69">
        <v>45926</v>
      </c>
      <c r="C5" s="70" t="s">
        <v>22</v>
      </c>
      <c r="D5" s="70" t="s">
        <v>703</v>
      </c>
      <c r="E5" s="113">
        <v>0</v>
      </c>
      <c r="F5" s="57" t="s">
        <v>115</v>
      </c>
      <c r="G5" s="57" t="s">
        <v>116</v>
      </c>
      <c r="H5" s="57" t="s">
        <v>677</v>
      </c>
      <c r="I5" s="57"/>
      <c r="J5">
        <f t="shared" ca="1" si="0"/>
        <v>167</v>
      </c>
      <c r="L5" s="69">
        <f t="shared" si="1"/>
        <v>45926</v>
      </c>
      <c r="M5" t="str">
        <f t="shared" ca="1" si="2"/>
        <v>Delivered</v>
      </c>
      <c r="N5" s="72">
        <f>VLOOKUP(F5,Table1[[#All],[Project Name]:[Balance(INR)]],8,0)</f>
        <v>0</v>
      </c>
      <c r="O5" s="72"/>
      <c r="P5" s="100"/>
      <c r="Q5" s="18"/>
    </row>
    <row r="6" spans="1:20" hidden="1" x14ac:dyDescent="0.2">
      <c r="A6" s="15">
        <f t="shared" si="3"/>
        <v>5</v>
      </c>
      <c r="B6" s="7">
        <v>45944</v>
      </c>
      <c r="C6" s="1" t="s">
        <v>22</v>
      </c>
      <c r="D6" s="70" t="s">
        <v>702</v>
      </c>
      <c r="E6" s="113">
        <v>15000</v>
      </c>
      <c r="F6" s="57" t="s">
        <v>130</v>
      </c>
      <c r="G6" s="2" t="s">
        <v>131</v>
      </c>
      <c r="H6" s="2" t="s">
        <v>677</v>
      </c>
      <c r="I6" s="2"/>
      <c r="J6">
        <f t="shared" ca="1" si="0"/>
        <v>149</v>
      </c>
      <c r="L6" s="69">
        <f t="shared" si="1"/>
        <v>45944</v>
      </c>
      <c r="M6" t="str">
        <f t="shared" ca="1" si="2"/>
        <v>Delivered</v>
      </c>
      <c r="N6" s="72">
        <f>VLOOKUP(F6,Table1[[#All],[Project Name]:[Balance(INR)]],8,0)</f>
        <v>0</v>
      </c>
      <c r="O6" s="72"/>
      <c r="P6" s="100"/>
      <c r="Q6" s="18"/>
      <c r="R6" t="s">
        <v>10</v>
      </c>
      <c r="S6" s="18">
        <f>SUM(S2:S5)</f>
        <v>1363387.68</v>
      </c>
    </row>
    <row r="7" spans="1:20" ht="12.4" hidden="1" customHeight="1" x14ac:dyDescent="0.2">
      <c r="A7" s="15">
        <f t="shared" si="3"/>
        <v>6</v>
      </c>
      <c r="B7" s="69">
        <v>45959</v>
      </c>
      <c r="C7" s="70" t="s">
        <v>216</v>
      </c>
      <c r="D7" s="70" t="s">
        <v>701</v>
      </c>
      <c r="E7" s="113">
        <v>0</v>
      </c>
      <c r="F7" s="57" t="s">
        <v>107</v>
      </c>
      <c r="G7" s="57" t="s">
        <v>108</v>
      </c>
      <c r="H7" s="57" t="s">
        <v>677</v>
      </c>
      <c r="I7" s="57"/>
      <c r="J7">
        <f t="shared" ca="1" si="0"/>
        <v>134</v>
      </c>
      <c r="L7" s="69">
        <f t="shared" si="1"/>
        <v>45959</v>
      </c>
      <c r="M7" t="str">
        <f t="shared" ca="1" si="2"/>
        <v>Delivered</v>
      </c>
      <c r="N7" s="72">
        <f>VLOOKUP(F7,Table1[[#All],[Project Name]:[Balance(INR)]],8,0)</f>
        <v>0</v>
      </c>
      <c r="O7" s="72"/>
      <c r="P7" s="100"/>
      <c r="Q7" s="18"/>
    </row>
    <row r="8" spans="1:20" hidden="1" x14ac:dyDescent="0.2">
      <c r="A8" s="15">
        <f t="shared" si="3"/>
        <v>7</v>
      </c>
      <c r="B8" s="7">
        <v>45993</v>
      </c>
      <c r="C8" s="1" t="s">
        <v>25</v>
      </c>
      <c r="D8" s="1" t="s">
        <v>704</v>
      </c>
      <c r="E8" s="114">
        <v>0</v>
      </c>
      <c r="F8" s="13" t="s">
        <v>163</v>
      </c>
      <c r="G8" s="2" t="s">
        <v>164</v>
      </c>
      <c r="H8" s="2" t="s">
        <v>677</v>
      </c>
      <c r="I8" s="2"/>
      <c r="J8">
        <f t="shared" ca="1" si="0"/>
        <v>100</v>
      </c>
      <c r="K8">
        <v>50</v>
      </c>
      <c r="L8" s="69">
        <f t="shared" si="1"/>
        <v>46043</v>
      </c>
      <c r="M8" t="str">
        <f t="shared" ca="1" si="2"/>
        <v>Delivered</v>
      </c>
      <c r="N8" s="72">
        <f>VLOOKUP(F8,Table1[[#All],[Project Name]:[Balance(INR)]],8,0)</f>
        <v>0</v>
      </c>
      <c r="O8" s="18"/>
      <c r="P8" s="18"/>
      <c r="Q8" s="18"/>
    </row>
    <row r="9" spans="1:20" hidden="1" x14ac:dyDescent="0.2">
      <c r="A9" s="15">
        <f t="shared" si="3"/>
        <v>8</v>
      </c>
      <c r="B9" s="7">
        <v>46037</v>
      </c>
      <c r="C9" s="1" t="s">
        <v>25</v>
      </c>
      <c r="D9" s="1" t="s">
        <v>704</v>
      </c>
      <c r="E9" s="114">
        <v>0</v>
      </c>
      <c r="F9" s="57" t="s">
        <v>183</v>
      </c>
      <c r="G9" s="2" t="s">
        <v>127</v>
      </c>
      <c r="H9" s="2" t="s">
        <v>677</v>
      </c>
      <c r="I9" s="2"/>
      <c r="J9">
        <f t="shared" ca="1" si="0"/>
        <v>56</v>
      </c>
      <c r="K9">
        <v>25</v>
      </c>
      <c r="L9" s="69">
        <f t="shared" si="1"/>
        <v>46062</v>
      </c>
      <c r="M9" t="str">
        <f t="shared" ca="1" si="2"/>
        <v>Delivered</v>
      </c>
      <c r="N9" s="18">
        <f>VLOOKUP(F9,Table1[[#All],[Project Name]:[Balance(INR)]],8,0)</f>
        <v>0</v>
      </c>
      <c r="O9" s="72"/>
      <c r="P9" s="72"/>
      <c r="Q9" s="72"/>
    </row>
    <row r="10" spans="1:20" x14ac:dyDescent="0.2">
      <c r="A10" s="15">
        <f t="shared" si="3"/>
        <v>9</v>
      </c>
      <c r="B10" s="4">
        <v>45981</v>
      </c>
      <c r="C10" s="1" t="s">
        <v>25</v>
      </c>
      <c r="D10" s="1" t="s">
        <v>704</v>
      </c>
      <c r="E10" s="114">
        <v>5000</v>
      </c>
      <c r="F10" s="2" t="s">
        <v>146</v>
      </c>
      <c r="G10" s="2" t="s">
        <v>147</v>
      </c>
      <c r="H10" s="2" t="s">
        <v>673</v>
      </c>
      <c r="I10" s="2"/>
      <c r="J10">
        <f t="shared" ref="J10:J33" ca="1" si="4">_xlfn.DAYS(TODAY(),B10)</f>
        <v>112</v>
      </c>
      <c r="K10">
        <v>110</v>
      </c>
      <c r="L10" s="69">
        <f t="shared" ref="L10:L33" si="5">K10+B10</f>
        <v>46091</v>
      </c>
      <c r="M10">
        <f t="shared" ref="M10:M33" ca="1" si="6">IF(H10&lt;&gt;"Delivered",_xlfn.DAYS(L10,TODAY()),"Delivered")</f>
        <v>-2</v>
      </c>
      <c r="N10" s="72">
        <f>VLOOKUP(F10,Table1[[#All],[Project Name]:[Balance(INR)]],8,0)</f>
        <v>40000</v>
      </c>
      <c r="O10" s="72">
        <v>40000</v>
      </c>
      <c r="P10" s="100"/>
      <c r="Q10" s="18"/>
      <c r="T10" t="s">
        <v>738</v>
      </c>
    </row>
    <row r="11" spans="1:20" x14ac:dyDescent="0.2">
      <c r="A11" s="15">
        <f t="shared" si="3"/>
        <v>10</v>
      </c>
      <c r="B11" s="7">
        <v>45990</v>
      </c>
      <c r="C11" s="1" t="s">
        <v>22</v>
      </c>
      <c r="D11" s="1" t="s">
        <v>704</v>
      </c>
      <c r="E11" s="114">
        <v>15000</v>
      </c>
      <c r="F11" s="2" t="s">
        <v>156</v>
      </c>
      <c r="G11" s="2" t="s">
        <v>157</v>
      </c>
      <c r="H11" s="2" t="s">
        <v>81</v>
      </c>
      <c r="I11" s="2"/>
      <c r="J11">
        <f t="shared" ca="1" si="4"/>
        <v>103</v>
      </c>
      <c r="K11">
        <v>80</v>
      </c>
      <c r="L11" s="69">
        <f t="shared" si="5"/>
        <v>46070</v>
      </c>
      <c r="M11">
        <f t="shared" ca="1" si="6"/>
        <v>-23</v>
      </c>
      <c r="N11" s="72">
        <f>VLOOKUP(F11,Table1[[#All],[Project Name]:[Balance(INR)]],8,0)</f>
        <v>7500</v>
      </c>
      <c r="O11" s="72">
        <v>7500</v>
      </c>
      <c r="P11" s="100"/>
      <c r="Q11" s="18"/>
      <c r="R11" s="18"/>
      <c r="T11" t="s">
        <v>76</v>
      </c>
    </row>
    <row r="12" spans="1:20" x14ac:dyDescent="0.2">
      <c r="A12" s="15">
        <f t="shared" si="3"/>
        <v>11</v>
      </c>
      <c r="B12" s="4">
        <v>45976</v>
      </c>
      <c r="C12" s="1" t="s">
        <v>22</v>
      </c>
      <c r="D12" s="1" t="s">
        <v>704</v>
      </c>
      <c r="E12" s="114">
        <v>20000</v>
      </c>
      <c r="F12" s="57" t="s">
        <v>144</v>
      </c>
      <c r="G12" s="57" t="s">
        <v>145</v>
      </c>
      <c r="H12" s="57" t="s">
        <v>81</v>
      </c>
      <c r="I12" s="57"/>
      <c r="J12">
        <f t="shared" ca="1" si="4"/>
        <v>117</v>
      </c>
      <c r="K12">
        <v>90</v>
      </c>
      <c r="L12" s="69">
        <f t="shared" si="5"/>
        <v>46066</v>
      </c>
      <c r="M12">
        <f t="shared" ca="1" si="6"/>
        <v>-27</v>
      </c>
      <c r="N12" s="72">
        <f>VLOOKUP(F12,Table1[[#All],[Project Name]:[Balance(INR)]],8,0)</f>
        <v>75000</v>
      </c>
      <c r="O12" s="72">
        <v>30000</v>
      </c>
      <c r="P12" s="100"/>
      <c r="Q12" s="18"/>
      <c r="R12" s="18"/>
      <c r="T12" t="s">
        <v>76</v>
      </c>
    </row>
    <row r="13" spans="1:20" x14ac:dyDescent="0.2">
      <c r="A13" s="15">
        <f t="shared" si="3"/>
        <v>12</v>
      </c>
      <c r="B13" s="7">
        <v>45992</v>
      </c>
      <c r="C13" s="1" t="s">
        <v>25</v>
      </c>
      <c r="D13" s="1" t="s">
        <v>704</v>
      </c>
      <c r="E13" s="114">
        <v>0</v>
      </c>
      <c r="F13" s="13" t="s">
        <v>159</v>
      </c>
      <c r="G13" s="2" t="s">
        <v>160</v>
      </c>
      <c r="H13" s="2" t="s">
        <v>673</v>
      </c>
      <c r="I13" s="2"/>
      <c r="J13">
        <f t="shared" ca="1" si="4"/>
        <v>101</v>
      </c>
      <c r="K13">
        <v>40</v>
      </c>
      <c r="L13" s="69">
        <f t="shared" si="5"/>
        <v>46032</v>
      </c>
      <c r="M13">
        <f t="shared" ca="1" si="6"/>
        <v>-61</v>
      </c>
      <c r="N13" s="72">
        <f>VLOOKUP(F13,Table1[[#All],[Project Name]:[Balance(INR)]],8,0)</f>
        <v>24000</v>
      </c>
      <c r="O13" s="72">
        <v>24000</v>
      </c>
      <c r="P13" s="100"/>
      <c r="Q13" s="18"/>
      <c r="R13" s="18"/>
      <c r="T13" t="s">
        <v>25</v>
      </c>
    </row>
    <row r="14" spans="1:20" x14ac:dyDescent="0.2">
      <c r="A14" s="15">
        <f t="shared" si="3"/>
        <v>13</v>
      </c>
      <c r="B14" s="7">
        <v>45982</v>
      </c>
      <c r="C14" s="1" t="s">
        <v>25</v>
      </c>
      <c r="D14" s="1" t="s">
        <v>704</v>
      </c>
      <c r="E14" s="114">
        <v>0</v>
      </c>
      <c r="F14" s="17" t="s">
        <v>149</v>
      </c>
      <c r="G14" s="2" t="s">
        <v>150</v>
      </c>
      <c r="H14" s="2" t="s">
        <v>666</v>
      </c>
      <c r="I14" s="2"/>
      <c r="J14">
        <f t="shared" ca="1" si="4"/>
        <v>111</v>
      </c>
      <c r="K14">
        <v>90</v>
      </c>
      <c r="L14" s="69">
        <f t="shared" si="5"/>
        <v>46072</v>
      </c>
      <c r="M14">
        <f t="shared" ca="1" si="6"/>
        <v>-21</v>
      </c>
      <c r="N14" s="18">
        <f>VLOOKUP(F14,Table1[[#All],[Project Name]:[Balance(INR)]],8,0)</f>
        <v>170000</v>
      </c>
      <c r="O14" s="18">
        <v>100000</v>
      </c>
      <c r="P14" s="18"/>
      <c r="Q14" s="18"/>
      <c r="R14" s="18"/>
      <c r="T14" t="s">
        <v>54</v>
      </c>
    </row>
    <row r="15" spans="1:20" x14ac:dyDescent="0.2">
      <c r="A15" s="15">
        <f t="shared" si="3"/>
        <v>14</v>
      </c>
      <c r="B15" s="7">
        <v>46002</v>
      </c>
      <c r="C15" s="1" t="s">
        <v>216</v>
      </c>
      <c r="D15" s="1" t="s">
        <v>704</v>
      </c>
      <c r="E15" s="114">
        <v>10000</v>
      </c>
      <c r="F15" s="2" t="s">
        <v>169</v>
      </c>
      <c r="G15" s="2" t="s">
        <v>170</v>
      </c>
      <c r="H15" s="2" t="s">
        <v>81</v>
      </c>
      <c r="I15" s="2"/>
      <c r="J15">
        <f t="shared" ca="1" si="4"/>
        <v>91</v>
      </c>
      <c r="K15">
        <v>60</v>
      </c>
      <c r="L15" s="69">
        <f t="shared" si="5"/>
        <v>46062</v>
      </c>
      <c r="M15">
        <f t="shared" ca="1" si="6"/>
        <v>-31</v>
      </c>
      <c r="N15" s="72">
        <f>VLOOKUP(F15,Table1[[#All],[Project Name]:[Balance(INR)]],8,0)</f>
        <v>49500</v>
      </c>
      <c r="O15" s="72">
        <v>49500</v>
      </c>
      <c r="P15" s="100"/>
      <c r="Q15" s="18"/>
      <c r="R15" s="18"/>
      <c r="T15" t="s">
        <v>723</v>
      </c>
    </row>
    <row r="16" spans="1:20" hidden="1" x14ac:dyDescent="0.2">
      <c r="A16" s="15">
        <f t="shared" si="3"/>
        <v>15</v>
      </c>
      <c r="B16" s="69">
        <v>45908</v>
      </c>
      <c r="C16" s="70" t="s">
        <v>22</v>
      </c>
      <c r="D16" s="70" t="s">
        <v>704</v>
      </c>
      <c r="E16" s="113">
        <v>0</v>
      </c>
      <c r="F16" s="57" t="s">
        <v>100</v>
      </c>
      <c r="G16" s="57" t="s">
        <v>101</v>
      </c>
      <c r="H16" s="57" t="s">
        <v>666</v>
      </c>
      <c r="I16" s="57"/>
      <c r="J16">
        <f t="shared" ca="1" si="4"/>
        <v>185</v>
      </c>
      <c r="K16">
        <v>90</v>
      </c>
      <c r="L16" s="69">
        <f t="shared" si="5"/>
        <v>45998</v>
      </c>
      <c r="M16">
        <f t="shared" ca="1" si="6"/>
        <v>-95</v>
      </c>
      <c r="N16" s="72">
        <f>VLOOKUP(F16,Table1[[#All],[Project Name]:[Balance(INR)]],8,0)</f>
        <v>200000</v>
      </c>
      <c r="O16" s="72">
        <v>0</v>
      </c>
      <c r="P16" s="100"/>
      <c r="Q16" s="18"/>
      <c r="R16" s="18"/>
    </row>
    <row r="17" spans="1:20" hidden="1" x14ac:dyDescent="0.2">
      <c r="A17" s="15">
        <f t="shared" si="3"/>
        <v>16</v>
      </c>
      <c r="B17" s="4">
        <v>45947</v>
      </c>
      <c r="C17" s="1" t="s">
        <v>216</v>
      </c>
      <c r="D17" s="1" t="s">
        <v>704</v>
      </c>
      <c r="E17" s="114">
        <v>0</v>
      </c>
      <c r="F17" s="135" t="s">
        <v>137</v>
      </c>
      <c r="G17" s="57" t="s">
        <v>138</v>
      </c>
      <c r="H17" s="57" t="s">
        <v>666</v>
      </c>
      <c r="I17" s="57"/>
      <c r="J17">
        <f t="shared" ca="1" si="4"/>
        <v>146</v>
      </c>
      <c r="K17">
        <v>50</v>
      </c>
      <c r="L17" s="69">
        <f t="shared" si="5"/>
        <v>45997</v>
      </c>
      <c r="M17">
        <f t="shared" ca="1" si="6"/>
        <v>-96</v>
      </c>
      <c r="N17" s="72">
        <f>VLOOKUP(F17,Table1[[#All],[Project Name]:[Balance(INR)]],8,0)</f>
        <v>30000</v>
      </c>
      <c r="O17" s="72">
        <v>0</v>
      </c>
      <c r="P17" s="100"/>
      <c r="Q17" s="18"/>
      <c r="R17" s="18"/>
    </row>
    <row r="18" spans="1:20" hidden="1" x14ac:dyDescent="0.2">
      <c r="A18" s="15">
        <f t="shared" si="3"/>
        <v>17</v>
      </c>
      <c r="B18" s="4">
        <v>45986</v>
      </c>
      <c r="C18" s="1" t="s">
        <v>22</v>
      </c>
      <c r="D18" s="1" t="s">
        <v>705</v>
      </c>
      <c r="E18" s="114"/>
      <c r="F18" s="2" t="s">
        <v>151</v>
      </c>
      <c r="G18" s="2" t="s">
        <v>152</v>
      </c>
      <c r="H18" s="2" t="s">
        <v>663</v>
      </c>
      <c r="I18" s="2"/>
      <c r="J18">
        <f t="shared" ca="1" si="4"/>
        <v>107</v>
      </c>
      <c r="K18">
        <v>90</v>
      </c>
      <c r="L18" s="69">
        <f t="shared" si="5"/>
        <v>46076</v>
      </c>
      <c r="M18">
        <f t="shared" ca="1" si="6"/>
        <v>-17</v>
      </c>
      <c r="N18" s="72">
        <f>VLOOKUP(F18,Table1[[#All],[Project Name]:[Balance(INR)]],8,0)</f>
        <v>82888.679999999993</v>
      </c>
      <c r="O18" s="72">
        <v>0</v>
      </c>
      <c r="P18" s="100"/>
      <c r="Q18" s="18"/>
      <c r="R18" s="18"/>
    </row>
    <row r="19" spans="1:20" ht="13.15" hidden="1" customHeight="1" x14ac:dyDescent="0.2">
      <c r="A19" s="15">
        <f t="shared" si="3"/>
        <v>18</v>
      </c>
      <c r="B19" s="7">
        <v>45996</v>
      </c>
      <c r="C19" s="1" t="s">
        <v>25</v>
      </c>
      <c r="D19" s="1" t="s">
        <v>704</v>
      </c>
      <c r="E19" s="114">
        <v>0</v>
      </c>
      <c r="F19" s="136" t="s">
        <v>166</v>
      </c>
      <c r="G19" s="2" t="s">
        <v>167</v>
      </c>
      <c r="H19" s="2" t="s">
        <v>663</v>
      </c>
      <c r="I19" s="2"/>
      <c r="J19">
        <f t="shared" ca="1" si="4"/>
        <v>97</v>
      </c>
      <c r="K19">
        <v>60</v>
      </c>
      <c r="L19" s="69">
        <f t="shared" si="5"/>
        <v>46056</v>
      </c>
      <c r="M19">
        <f t="shared" ca="1" si="6"/>
        <v>-37</v>
      </c>
      <c r="N19" s="72">
        <f>VLOOKUP(F19,Table1[[#All],[Project Name]:[Balance(INR)]],8,0)</f>
        <v>115000</v>
      </c>
      <c r="O19" s="72">
        <v>0</v>
      </c>
      <c r="P19" s="100"/>
      <c r="Q19" s="18"/>
      <c r="R19" s="18"/>
    </row>
    <row r="20" spans="1:20" ht="12.4" hidden="1" customHeight="1" x14ac:dyDescent="0.2">
      <c r="A20" s="15">
        <f t="shared" si="3"/>
        <v>19</v>
      </c>
      <c r="B20" s="7">
        <v>46006</v>
      </c>
      <c r="C20" s="1" t="s">
        <v>25</v>
      </c>
      <c r="D20" s="1" t="s">
        <v>704</v>
      </c>
      <c r="E20" s="114">
        <v>0</v>
      </c>
      <c r="F20" s="59" t="s">
        <v>171</v>
      </c>
      <c r="G20" s="63" t="s">
        <v>172</v>
      </c>
      <c r="H20" s="63" t="s">
        <v>663</v>
      </c>
      <c r="I20" s="63"/>
      <c r="J20">
        <f t="shared" ca="1" si="4"/>
        <v>87</v>
      </c>
      <c r="K20">
        <v>45</v>
      </c>
      <c r="L20" s="69">
        <f t="shared" si="5"/>
        <v>46051</v>
      </c>
      <c r="M20">
        <f t="shared" ca="1" si="6"/>
        <v>-42</v>
      </c>
      <c r="N20" s="72">
        <f>VLOOKUP(F20,Table1[[#All],[Project Name]:[Balance(INR)]],8,0)</f>
        <v>50000</v>
      </c>
      <c r="O20" s="72">
        <v>0</v>
      </c>
      <c r="P20" s="100"/>
      <c r="Q20" s="18" t="s">
        <v>706</v>
      </c>
      <c r="R20" s="18"/>
    </row>
    <row r="21" spans="1:20" ht="13.15" hidden="1" customHeight="1" x14ac:dyDescent="0.2">
      <c r="A21" s="15">
        <f t="shared" si="3"/>
        <v>20</v>
      </c>
      <c r="B21" s="4">
        <v>46020</v>
      </c>
      <c r="C21" s="1" t="s">
        <v>25</v>
      </c>
      <c r="D21" s="1" t="s">
        <v>705</v>
      </c>
      <c r="E21" s="114"/>
      <c r="F21" s="57" t="s">
        <v>177</v>
      </c>
      <c r="G21" s="2" t="s">
        <v>178</v>
      </c>
      <c r="H21" s="2" t="s">
        <v>680</v>
      </c>
      <c r="I21" s="2"/>
      <c r="J21">
        <f t="shared" ca="1" si="4"/>
        <v>73</v>
      </c>
      <c r="K21">
        <v>60</v>
      </c>
      <c r="L21" s="69">
        <f t="shared" si="5"/>
        <v>46080</v>
      </c>
      <c r="M21">
        <f t="shared" ca="1" si="6"/>
        <v>-13</v>
      </c>
      <c r="N21" s="18">
        <f>VLOOKUP(F21,Table1[[#All],[Project Name]:[Balance(INR)]],8,0)</f>
        <v>94000</v>
      </c>
      <c r="O21" s="18"/>
      <c r="P21" s="18"/>
      <c r="Q21" s="18"/>
      <c r="R21" s="18"/>
    </row>
    <row r="22" spans="1:20" ht="13.15" hidden="1" customHeight="1" x14ac:dyDescent="0.2">
      <c r="A22" s="15">
        <f t="shared" si="3"/>
        <v>21</v>
      </c>
      <c r="B22" s="4">
        <v>45975</v>
      </c>
      <c r="C22" s="1" t="s">
        <v>22</v>
      </c>
      <c r="D22" s="1" t="s">
        <v>704</v>
      </c>
      <c r="E22" s="114">
        <v>0</v>
      </c>
      <c r="F22" s="57" t="s">
        <v>142</v>
      </c>
      <c r="G22" s="2" t="s">
        <v>143</v>
      </c>
      <c r="H22" s="2" t="s">
        <v>680</v>
      </c>
      <c r="I22" s="2"/>
      <c r="J22">
        <f t="shared" ca="1" si="4"/>
        <v>118</v>
      </c>
      <c r="K22" s="26"/>
      <c r="L22" s="69">
        <f t="shared" si="5"/>
        <v>45975</v>
      </c>
      <c r="M22">
        <f t="shared" ca="1" si="6"/>
        <v>-118</v>
      </c>
      <c r="N22" s="18">
        <f>VLOOKUP(F22,Table1[[#All],[Project Name]:[Balance(INR)]],8,0)</f>
        <v>18000</v>
      </c>
      <c r="O22" s="18"/>
      <c r="P22" s="18"/>
      <c r="Q22" s="18"/>
      <c r="R22" s="18"/>
    </row>
    <row r="23" spans="1:20" ht="12.4" hidden="1" customHeight="1" x14ac:dyDescent="0.2">
      <c r="A23" s="15">
        <f t="shared" si="3"/>
        <v>22</v>
      </c>
      <c r="B23" s="4">
        <v>45964</v>
      </c>
      <c r="C23" s="1" t="s">
        <v>25</v>
      </c>
      <c r="D23" s="1" t="s">
        <v>705</v>
      </c>
      <c r="E23" s="114">
        <v>0</v>
      </c>
      <c r="F23" s="57" t="s">
        <v>139</v>
      </c>
      <c r="G23" s="2" t="s">
        <v>140</v>
      </c>
      <c r="H23" s="2" t="s">
        <v>680</v>
      </c>
      <c r="I23" s="2"/>
      <c r="J23">
        <f t="shared" ca="1" si="4"/>
        <v>129</v>
      </c>
      <c r="L23" s="69">
        <f t="shared" si="5"/>
        <v>45964</v>
      </c>
      <c r="M23">
        <f t="shared" ca="1" si="6"/>
        <v>-129</v>
      </c>
      <c r="N23" s="18">
        <f>VLOOKUP(F23,Table1[[#All],[Project Name]:[Balance(INR)]],8,0)</f>
        <v>74000</v>
      </c>
      <c r="O23" s="18"/>
      <c r="P23" s="18"/>
      <c r="Q23" s="18"/>
      <c r="R23" s="18"/>
    </row>
    <row r="24" spans="1:20" hidden="1" x14ac:dyDescent="0.2">
      <c r="A24" s="15">
        <f t="shared" si="3"/>
        <v>23</v>
      </c>
      <c r="B24" s="69">
        <v>45929</v>
      </c>
      <c r="C24" s="70" t="s">
        <v>25</v>
      </c>
      <c r="D24" s="70" t="s">
        <v>705</v>
      </c>
      <c r="E24" s="113">
        <v>0</v>
      </c>
      <c r="F24" s="57" t="s">
        <v>592</v>
      </c>
      <c r="G24" s="57" t="s">
        <v>610</v>
      </c>
      <c r="H24" s="57" t="s">
        <v>680</v>
      </c>
      <c r="I24" s="57"/>
      <c r="J24">
        <f t="shared" ca="1" si="4"/>
        <v>164</v>
      </c>
      <c r="K24" s="26"/>
      <c r="L24" s="69">
        <f t="shared" si="5"/>
        <v>45929</v>
      </c>
      <c r="M24">
        <f t="shared" ca="1" si="6"/>
        <v>-164</v>
      </c>
      <c r="N24" s="18">
        <f>VLOOKUP(F24,Table1[[#All],[Project Name]:[Balance(INR)]],8,0)</f>
        <v>70000</v>
      </c>
      <c r="O24" s="18"/>
      <c r="P24" s="18"/>
      <c r="Q24" s="18"/>
      <c r="R24" s="18"/>
    </row>
    <row r="25" spans="1:20" ht="13.15" customHeight="1" x14ac:dyDescent="0.2">
      <c r="A25" s="15">
        <f t="shared" si="3"/>
        <v>24</v>
      </c>
      <c r="B25" s="7">
        <v>46034</v>
      </c>
      <c r="C25" s="1" t="s">
        <v>25</v>
      </c>
      <c r="D25" s="1" t="s">
        <v>767</v>
      </c>
      <c r="E25" s="114"/>
      <c r="F25" s="17" t="s">
        <v>179</v>
      </c>
      <c r="G25" s="63" t="s">
        <v>180</v>
      </c>
      <c r="H25" s="2" t="s">
        <v>81</v>
      </c>
      <c r="I25" s="2"/>
      <c r="J25">
        <f t="shared" ca="1" si="4"/>
        <v>59</v>
      </c>
      <c r="K25">
        <v>45</v>
      </c>
      <c r="L25" s="69">
        <f t="shared" si="5"/>
        <v>46079</v>
      </c>
      <c r="M25">
        <f t="shared" ca="1" si="6"/>
        <v>-14</v>
      </c>
      <c r="N25" s="18">
        <f>VLOOKUP(F25,Table1[[#All],[Project Name]:[Balance(INR)]],8,0)</f>
        <v>35000</v>
      </c>
      <c r="O25" s="72">
        <v>35000</v>
      </c>
      <c r="P25" s="72"/>
      <c r="Q25" s="72"/>
      <c r="R25" s="18"/>
      <c r="T25" t="s">
        <v>182</v>
      </c>
    </row>
    <row r="26" spans="1:20" hidden="1" x14ac:dyDescent="0.2">
      <c r="A26" s="15">
        <f t="shared" si="3"/>
        <v>25</v>
      </c>
      <c r="B26" s="7">
        <v>45940</v>
      </c>
      <c r="C26" s="1" t="s">
        <v>216</v>
      </c>
      <c r="D26" s="1" t="s">
        <v>704</v>
      </c>
      <c r="E26" s="114">
        <v>7500</v>
      </c>
      <c r="F26" s="57" t="s">
        <v>126</v>
      </c>
      <c r="G26" s="2" t="s">
        <v>127</v>
      </c>
      <c r="H26" s="2" t="s">
        <v>677</v>
      </c>
      <c r="I26" s="2"/>
      <c r="J26">
        <f t="shared" ca="1" si="4"/>
        <v>153</v>
      </c>
      <c r="K26">
        <v>60</v>
      </c>
      <c r="L26" s="69">
        <f t="shared" si="5"/>
        <v>46000</v>
      </c>
      <c r="M26" t="str">
        <f t="shared" ca="1" si="6"/>
        <v>Delivered</v>
      </c>
      <c r="N26" s="72">
        <f>VLOOKUP(F26,Table1[[#All],[Project Name]:[Balance(INR)]],8,0)</f>
        <v>0</v>
      </c>
      <c r="O26" s="72">
        <v>80000</v>
      </c>
      <c r="P26" s="100">
        <v>46030</v>
      </c>
      <c r="Q26" s="18" t="s">
        <v>706</v>
      </c>
      <c r="R26" s="18"/>
    </row>
    <row r="27" spans="1:20" x14ac:dyDescent="0.2">
      <c r="A27" s="15">
        <f t="shared" si="3"/>
        <v>26</v>
      </c>
      <c r="B27" s="7">
        <v>45988</v>
      </c>
      <c r="C27" s="1" t="s">
        <v>22</v>
      </c>
      <c r="D27" s="1" t="s">
        <v>704</v>
      </c>
      <c r="E27" s="114">
        <v>10000</v>
      </c>
      <c r="F27" s="2" t="s">
        <v>154</v>
      </c>
      <c r="G27" s="2" t="s">
        <v>155</v>
      </c>
      <c r="H27" s="2" t="s">
        <v>81</v>
      </c>
      <c r="I27" s="2"/>
      <c r="J27">
        <f t="shared" ca="1" si="4"/>
        <v>105</v>
      </c>
      <c r="K27">
        <v>90</v>
      </c>
      <c r="L27" s="69">
        <f t="shared" si="5"/>
        <v>46078</v>
      </c>
      <c r="M27">
        <f t="shared" ca="1" si="6"/>
        <v>-15</v>
      </c>
      <c r="N27" s="72">
        <f>VLOOKUP(F27,Table1[[#All],[Project Name]:[Balance(INR)]],8,0)</f>
        <v>60000</v>
      </c>
      <c r="O27" s="72">
        <v>60000</v>
      </c>
      <c r="P27" s="100"/>
      <c r="Q27" s="18" t="s">
        <v>706</v>
      </c>
      <c r="R27" s="18"/>
      <c r="T27" t="s">
        <v>25</v>
      </c>
    </row>
    <row r="28" spans="1:20" x14ac:dyDescent="0.2">
      <c r="A28" s="15">
        <f t="shared" si="3"/>
        <v>27</v>
      </c>
      <c r="B28" s="7">
        <v>45946</v>
      </c>
      <c r="C28" s="1" t="s">
        <v>216</v>
      </c>
      <c r="D28" s="1" t="s">
        <v>704</v>
      </c>
      <c r="E28" s="114">
        <v>0</v>
      </c>
      <c r="F28" s="57" t="s">
        <v>133</v>
      </c>
      <c r="G28" s="2" t="s">
        <v>134</v>
      </c>
      <c r="H28" s="2" t="s">
        <v>81</v>
      </c>
      <c r="I28" s="2"/>
      <c r="J28">
        <f t="shared" ca="1" si="4"/>
        <v>147</v>
      </c>
      <c r="K28">
        <v>108</v>
      </c>
      <c r="L28" s="69">
        <f t="shared" si="5"/>
        <v>46054</v>
      </c>
      <c r="M28">
        <f t="shared" ca="1" si="6"/>
        <v>-39</v>
      </c>
      <c r="N28" s="72">
        <f>VLOOKUP(F28,Table1[[#All],[Project Name]:[Balance(INR)]],8,0)</f>
        <v>35000</v>
      </c>
      <c r="O28" s="72">
        <v>35000</v>
      </c>
      <c r="P28" s="100"/>
      <c r="Q28" s="18"/>
      <c r="R28" s="18"/>
      <c r="T28" t="s">
        <v>54</v>
      </c>
    </row>
    <row r="29" spans="1:20" x14ac:dyDescent="0.2">
      <c r="A29" s="15">
        <f t="shared" si="3"/>
        <v>28</v>
      </c>
      <c r="B29" s="7">
        <v>46017</v>
      </c>
      <c r="C29" s="1" t="s">
        <v>22</v>
      </c>
      <c r="D29" s="1" t="s">
        <v>704</v>
      </c>
      <c r="E29" s="114">
        <v>0</v>
      </c>
      <c r="F29" s="57" t="s">
        <v>593</v>
      </c>
      <c r="G29" s="2" t="s">
        <v>629</v>
      </c>
      <c r="H29" s="2" t="s">
        <v>81</v>
      </c>
      <c r="I29" s="2"/>
      <c r="J29">
        <f t="shared" ca="1" si="4"/>
        <v>76</v>
      </c>
      <c r="K29">
        <v>15</v>
      </c>
      <c r="L29" s="69">
        <f t="shared" si="5"/>
        <v>46032</v>
      </c>
      <c r="M29">
        <f t="shared" ca="1" si="6"/>
        <v>-61</v>
      </c>
      <c r="N29" s="18">
        <f>VLOOKUP(F29,Table1[[#All],[Project Name]:[Balance(INR)]],8,0)</f>
        <v>31000</v>
      </c>
      <c r="O29" s="18">
        <v>31000</v>
      </c>
      <c r="P29" s="18"/>
      <c r="Q29" s="18"/>
      <c r="R29" s="18"/>
      <c r="T29" t="s">
        <v>712</v>
      </c>
    </row>
    <row r="30" spans="1:20" hidden="1" x14ac:dyDescent="0.2">
      <c r="A30" s="15">
        <f t="shared" si="3"/>
        <v>29</v>
      </c>
      <c r="B30" s="26">
        <v>45966</v>
      </c>
      <c r="C30" s="1" t="s">
        <v>216</v>
      </c>
      <c r="D30" s="1" t="s">
        <v>707</v>
      </c>
      <c r="E30" s="114">
        <v>0</v>
      </c>
      <c r="F30" s="57" t="s">
        <v>190</v>
      </c>
      <c r="G30" s="2" t="s">
        <v>191</v>
      </c>
      <c r="H30" t="s">
        <v>677</v>
      </c>
      <c r="J30">
        <f t="shared" ca="1" si="4"/>
        <v>127</v>
      </c>
      <c r="K30">
        <v>12</v>
      </c>
      <c r="L30" s="26">
        <f t="shared" si="5"/>
        <v>45978</v>
      </c>
      <c r="M30" t="str">
        <f t="shared" ca="1" si="6"/>
        <v>Delivered</v>
      </c>
      <c r="N30" s="72">
        <f>VLOOKUP(F30,Table1[[#All],[Project Name]:[Balance(INR)]],8,0)</f>
        <v>0</v>
      </c>
      <c r="O30" s="72">
        <v>15000</v>
      </c>
      <c r="P30" s="100">
        <v>46024</v>
      </c>
      <c r="Q30" s="18"/>
      <c r="R30" s="18"/>
    </row>
    <row r="31" spans="1:20" x14ac:dyDescent="0.2">
      <c r="A31" s="15">
        <f t="shared" si="3"/>
        <v>30</v>
      </c>
      <c r="B31" s="69">
        <v>45931</v>
      </c>
      <c r="C31" s="70" t="s">
        <v>25</v>
      </c>
      <c r="D31" s="70" t="s">
        <v>704</v>
      </c>
      <c r="E31" s="113">
        <v>20000</v>
      </c>
      <c r="F31" s="57" t="s">
        <v>120</v>
      </c>
      <c r="G31" s="2" t="s">
        <v>121</v>
      </c>
      <c r="H31" s="2" t="s">
        <v>81</v>
      </c>
      <c r="I31" s="2"/>
      <c r="J31">
        <f t="shared" ca="1" si="4"/>
        <v>162</v>
      </c>
      <c r="K31">
        <v>90</v>
      </c>
      <c r="L31" s="69">
        <f t="shared" si="5"/>
        <v>46021</v>
      </c>
      <c r="M31">
        <f t="shared" ca="1" si="6"/>
        <v>-72</v>
      </c>
      <c r="N31" s="72">
        <f>VLOOKUP(F31,Table1[[#All],[Project Name]:[Balance(INR)]],8,0)</f>
        <v>79999</v>
      </c>
      <c r="O31" s="72">
        <v>80000</v>
      </c>
      <c r="P31" s="100"/>
      <c r="Q31" s="18"/>
      <c r="R31" s="18"/>
      <c r="T31" t="s">
        <v>25</v>
      </c>
    </row>
    <row r="32" spans="1:20" hidden="1" x14ac:dyDescent="0.2">
      <c r="A32" s="15">
        <f t="shared" si="3"/>
        <v>31</v>
      </c>
      <c r="B32" s="4">
        <v>45973</v>
      </c>
      <c r="C32" s="1" t="s">
        <v>22</v>
      </c>
      <c r="D32" s="1" t="s">
        <v>704</v>
      </c>
      <c r="E32" s="114">
        <v>0</v>
      </c>
      <c r="F32" s="57" t="s">
        <v>141</v>
      </c>
      <c r="G32" s="2" t="s">
        <v>101</v>
      </c>
      <c r="H32" s="2" t="s">
        <v>677</v>
      </c>
      <c r="I32" s="2"/>
      <c r="J32">
        <f t="shared" ca="1" si="4"/>
        <v>120</v>
      </c>
      <c r="K32">
        <v>45</v>
      </c>
      <c r="L32" s="69">
        <f t="shared" si="5"/>
        <v>46018</v>
      </c>
      <c r="M32" t="str">
        <f t="shared" ca="1" si="6"/>
        <v>Delivered</v>
      </c>
      <c r="N32" s="72">
        <f>VLOOKUP(F32,Table1[[#All],[Project Name]:[Balance(INR)]],8,0)</f>
        <v>0</v>
      </c>
      <c r="O32" s="72">
        <v>15000</v>
      </c>
      <c r="P32" s="100">
        <v>46027</v>
      </c>
      <c r="Q32" s="18" t="s">
        <v>706</v>
      </c>
      <c r="R32" s="18"/>
    </row>
    <row r="33" spans="1:20" x14ac:dyDescent="0.2">
      <c r="A33" s="15">
        <f t="shared" si="3"/>
        <v>32</v>
      </c>
      <c r="B33" s="4">
        <v>45947</v>
      </c>
      <c r="C33" s="1" t="s">
        <v>216</v>
      </c>
      <c r="D33" s="1" t="s">
        <v>704</v>
      </c>
      <c r="E33" s="114">
        <v>5000</v>
      </c>
      <c r="F33" s="57" t="s">
        <v>135</v>
      </c>
      <c r="G33" s="2" t="s">
        <v>136</v>
      </c>
      <c r="H33" s="2" t="s">
        <v>81</v>
      </c>
      <c r="I33" s="2"/>
      <c r="J33">
        <f t="shared" ca="1" si="4"/>
        <v>146</v>
      </c>
      <c r="K33">
        <v>50</v>
      </c>
      <c r="L33" s="69">
        <f t="shared" si="5"/>
        <v>45997</v>
      </c>
      <c r="M33">
        <f t="shared" ca="1" si="6"/>
        <v>-96</v>
      </c>
      <c r="N33" s="72">
        <f>VLOOKUP(F33,Table1[[#All],[Project Name]:[Balance(INR)]],8,0)</f>
        <v>22500</v>
      </c>
      <c r="O33" s="72">
        <v>22500</v>
      </c>
      <c r="P33" s="100"/>
      <c r="Q33" s="18" t="s">
        <v>706</v>
      </c>
      <c r="R33" s="18"/>
      <c r="T33" t="s">
        <v>54</v>
      </c>
    </row>
    <row r="34" spans="1:20" x14ac:dyDescent="0.2">
      <c r="N34" s="30"/>
      <c r="R34" s="18"/>
    </row>
    <row r="35" spans="1:20" x14ac:dyDescent="0.2">
      <c r="E35" s="18">
        <f>SUM(Table4[Maintenance-Amount])</f>
        <v>117500</v>
      </c>
      <c r="N35" s="18">
        <f>SUBTOTAL(9,N2:N33)</f>
        <v>629499</v>
      </c>
      <c r="O35" s="18">
        <f>SUBTOTAL(9,O2:O33)</f>
        <v>514500</v>
      </c>
      <c r="R35" s="18"/>
    </row>
    <row r="36" spans="1:20" x14ac:dyDescent="0.2">
      <c r="M36" s="30"/>
      <c r="R36" s="18"/>
    </row>
    <row r="37" spans="1:20" x14ac:dyDescent="0.2">
      <c r="R37" s="18"/>
    </row>
    <row r="49" spans="14:14" x14ac:dyDescent="0.2">
      <c r="N49" s="30"/>
    </row>
    <row r="50" spans="14:14" x14ac:dyDescent="0.2">
      <c r="N50" s="30"/>
    </row>
  </sheetData>
  <conditionalFormatting sqref="M2:M1048576">
    <cfRule type="cellIs" dxfId="17" priority="2" operator="lessThan">
      <formula>0</formula>
    </cfRule>
  </conditionalFormatting>
  <conditionalFormatting sqref="P2:P15 P17:P30">
    <cfRule type="cellIs" dxfId="16" priority="1" operator="lessThanOrEqual">
      <formula>TODAY()</formula>
    </cfRule>
  </conditionalFormatting>
  <pageMargins left="0.7" right="0.7" top="0.75" bottom="0.75" header="0.3" footer="0.3"/>
  <pageSetup paperSize="9" orientation="portrait" horizontalDpi="429496729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3E44F6-D837-48FD-A1D2-2EC46629BDF6}">
          <x14:formula1>
            <xm:f>Validations!$F$2:$F$4</xm:f>
          </x14:formula1>
          <xm:sqref>C2:C28</xm:sqref>
        </x14:dataValidation>
        <x14:dataValidation type="list" allowBlank="1" showInputMessage="1" showErrorMessage="1" xr:uid="{C93AA881-4629-4F03-8D60-DC054B10D583}">
          <x14:formula1>
            <xm:f>Validations!$G$2:$G$9</xm:f>
          </x14:formula1>
          <xm:sqref>H2:I1048576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5958-8DE6-4F89-B522-51A923FC23C3}">
  <dimension ref="A3:K19"/>
  <sheetViews>
    <sheetView zoomScale="145" zoomScaleNormal="145" workbookViewId="0">
      <selection activeCell="I19" sqref="I19"/>
    </sheetView>
  </sheetViews>
  <sheetFormatPr defaultRowHeight="12.75" x14ac:dyDescent="0.2"/>
  <cols>
    <col min="2" max="2" width="12.42578125" customWidth="1"/>
    <col min="3" max="3" width="15.42578125" customWidth="1"/>
    <col min="4" max="4" width="16.7109375" customWidth="1"/>
    <col min="5" max="5" width="4.5703125" style="15" bestFit="1" customWidth="1"/>
    <col min="6" max="6" width="21.85546875" bestFit="1" customWidth="1"/>
    <col min="7" max="7" width="10.85546875" bestFit="1" customWidth="1"/>
    <col min="8" max="8" width="30" bestFit="1" customWidth="1"/>
    <col min="9" max="9" width="24.85546875" bestFit="1" customWidth="1"/>
    <col min="10" max="10" width="17" bestFit="1" customWidth="1"/>
    <col min="11" max="11" width="14.7109375" bestFit="1" customWidth="1"/>
  </cols>
  <sheetData>
    <row r="3" spans="1:11" x14ac:dyDescent="0.2">
      <c r="A3" s="155" t="s">
        <v>708</v>
      </c>
      <c r="B3" s="156"/>
      <c r="C3" s="157"/>
      <c r="E3" s="124" t="s">
        <v>0</v>
      </c>
      <c r="F3" s="128" t="s">
        <v>709</v>
      </c>
      <c r="G3" s="125" t="s">
        <v>693</v>
      </c>
      <c r="H3" s="125" t="s">
        <v>91</v>
      </c>
      <c r="I3" s="128" t="s">
        <v>710</v>
      </c>
      <c r="J3" s="125" t="s">
        <v>693</v>
      </c>
      <c r="K3" s="125" t="s">
        <v>91</v>
      </c>
    </row>
    <row r="4" spans="1:11" x14ac:dyDescent="0.2">
      <c r="A4" s="126" t="s">
        <v>711</v>
      </c>
      <c r="B4" s="126" t="s">
        <v>712</v>
      </c>
      <c r="C4" s="111" t="s">
        <v>25</v>
      </c>
      <c r="D4" s="36"/>
      <c r="E4" s="15">
        <v>1</v>
      </c>
      <c r="F4" t="s">
        <v>126</v>
      </c>
      <c r="G4" t="s">
        <v>642</v>
      </c>
      <c r="H4" t="s">
        <v>44</v>
      </c>
      <c r="I4" t="s">
        <v>141</v>
      </c>
      <c r="J4" t="s">
        <v>713</v>
      </c>
      <c r="K4" t="s">
        <v>99</v>
      </c>
    </row>
    <row r="5" spans="1:11" x14ac:dyDescent="0.2">
      <c r="A5" s="126" t="s">
        <v>711</v>
      </c>
      <c r="B5" s="126" t="s">
        <v>54</v>
      </c>
      <c r="C5" s="111" t="s">
        <v>22</v>
      </c>
      <c r="E5" s="15">
        <f>E4+1</f>
        <v>2</v>
      </c>
      <c r="F5" t="s">
        <v>714</v>
      </c>
      <c r="G5" t="s">
        <v>642</v>
      </c>
      <c r="H5" t="s">
        <v>715</v>
      </c>
      <c r="I5" t="s">
        <v>716</v>
      </c>
      <c r="J5" t="s">
        <v>717</v>
      </c>
      <c r="K5" t="s">
        <v>99</v>
      </c>
    </row>
    <row r="6" spans="1:11" x14ac:dyDescent="0.2">
      <c r="A6" s="126" t="s">
        <v>718</v>
      </c>
      <c r="B6" s="126" t="s">
        <v>76</v>
      </c>
      <c r="C6" s="111" t="s">
        <v>25</v>
      </c>
      <c r="E6" s="15">
        <f t="shared" ref="E6:E14" si="0">E5+1</f>
        <v>3</v>
      </c>
      <c r="F6" t="s">
        <v>171</v>
      </c>
      <c r="G6" t="s">
        <v>717</v>
      </c>
      <c r="H6" t="s">
        <v>25</v>
      </c>
      <c r="I6" t="s">
        <v>650</v>
      </c>
      <c r="J6" t="s">
        <v>719</v>
      </c>
    </row>
    <row r="7" spans="1:11" x14ac:dyDescent="0.2">
      <c r="A7" s="126" t="s">
        <v>718</v>
      </c>
      <c r="B7" s="126" t="s">
        <v>720</v>
      </c>
      <c r="C7" s="111" t="s">
        <v>22</v>
      </c>
      <c r="E7" s="15">
        <f t="shared" si="0"/>
        <v>4</v>
      </c>
      <c r="F7" t="s">
        <v>721</v>
      </c>
      <c r="G7" t="s">
        <v>642</v>
      </c>
      <c r="H7" t="s">
        <v>25</v>
      </c>
      <c r="I7" t="s">
        <v>722</v>
      </c>
      <c r="J7" t="s">
        <v>642</v>
      </c>
      <c r="K7" t="s">
        <v>54</v>
      </c>
    </row>
    <row r="8" spans="1:11" x14ac:dyDescent="0.2">
      <c r="A8" s="126" t="s">
        <v>718</v>
      </c>
      <c r="B8" s="126" t="s">
        <v>723</v>
      </c>
      <c r="C8" s="111" t="s">
        <v>25</v>
      </c>
      <c r="E8" s="15">
        <f t="shared" si="0"/>
        <v>5</v>
      </c>
      <c r="F8" t="s">
        <v>190</v>
      </c>
      <c r="G8" t="s">
        <v>713</v>
      </c>
      <c r="I8" t="s">
        <v>100</v>
      </c>
      <c r="J8" t="s">
        <v>642</v>
      </c>
      <c r="K8" t="s">
        <v>724</v>
      </c>
    </row>
    <row r="9" spans="1:11" x14ac:dyDescent="0.2">
      <c r="A9" s="126" t="s">
        <v>718</v>
      </c>
      <c r="B9" s="126" t="s">
        <v>725</v>
      </c>
      <c r="C9" s="111" t="s">
        <v>22</v>
      </c>
      <c r="E9" s="15">
        <f t="shared" si="0"/>
        <v>6</v>
      </c>
      <c r="F9" t="s">
        <v>726</v>
      </c>
      <c r="G9" t="s">
        <v>642</v>
      </c>
      <c r="I9" t="s">
        <v>151</v>
      </c>
      <c r="J9" t="s">
        <v>642</v>
      </c>
      <c r="K9" t="s">
        <v>22</v>
      </c>
    </row>
    <row r="10" spans="1:11" x14ac:dyDescent="0.2">
      <c r="A10" s="126" t="s">
        <v>718</v>
      </c>
      <c r="B10" s="126" t="s">
        <v>44</v>
      </c>
      <c r="C10" s="111" t="s">
        <v>25</v>
      </c>
      <c r="E10" s="15">
        <f t="shared" si="0"/>
        <v>7</v>
      </c>
      <c r="F10" t="s">
        <v>727</v>
      </c>
      <c r="G10" t="s">
        <v>642</v>
      </c>
      <c r="H10" t="s">
        <v>728</v>
      </c>
      <c r="I10" t="s">
        <v>729</v>
      </c>
      <c r="J10" t="s">
        <v>642</v>
      </c>
      <c r="K10" t="s">
        <v>730</v>
      </c>
    </row>
    <row r="11" spans="1:11" x14ac:dyDescent="0.2">
      <c r="A11" s="126" t="s">
        <v>731</v>
      </c>
      <c r="B11" s="126" t="s">
        <v>732</v>
      </c>
      <c r="C11" s="111" t="s">
        <v>733</v>
      </c>
      <c r="E11" s="15">
        <f t="shared" si="0"/>
        <v>8</v>
      </c>
      <c r="F11" t="s">
        <v>734</v>
      </c>
      <c r="G11" t="s">
        <v>642</v>
      </c>
      <c r="H11" t="s">
        <v>25</v>
      </c>
      <c r="I11" t="s">
        <v>735</v>
      </c>
      <c r="J11" t="s">
        <v>642</v>
      </c>
      <c r="K11" t="s">
        <v>725</v>
      </c>
    </row>
    <row r="12" spans="1:11" x14ac:dyDescent="0.2">
      <c r="A12" s="126" t="s">
        <v>49</v>
      </c>
      <c r="B12" s="126" t="s">
        <v>50</v>
      </c>
      <c r="C12" s="111" t="s">
        <v>733</v>
      </c>
      <c r="E12" s="15">
        <f t="shared" si="0"/>
        <v>9</v>
      </c>
      <c r="F12" t="s">
        <v>736</v>
      </c>
      <c r="G12" t="s">
        <v>642</v>
      </c>
      <c r="H12" t="s">
        <v>737</v>
      </c>
      <c r="I12" t="s">
        <v>146</v>
      </c>
      <c r="J12" t="s">
        <v>642</v>
      </c>
      <c r="K12" t="s">
        <v>738</v>
      </c>
    </row>
    <row r="13" spans="1:11" x14ac:dyDescent="0.2">
      <c r="A13" s="126" t="s">
        <v>49</v>
      </c>
      <c r="B13" s="126" t="s">
        <v>79</v>
      </c>
      <c r="C13" s="111" t="s">
        <v>733</v>
      </c>
      <c r="E13" s="15">
        <f t="shared" si="0"/>
        <v>10</v>
      </c>
      <c r="F13" t="s">
        <v>739</v>
      </c>
      <c r="G13" t="s">
        <v>713</v>
      </c>
      <c r="I13" t="s">
        <v>179</v>
      </c>
      <c r="J13" t="s">
        <v>642</v>
      </c>
      <c r="K13" t="s">
        <v>182</v>
      </c>
    </row>
    <row r="14" spans="1:11" x14ac:dyDescent="0.2">
      <c r="A14" s="126" t="s">
        <v>49</v>
      </c>
      <c r="B14" s="126" t="s">
        <v>80</v>
      </c>
      <c r="C14" s="111" t="s">
        <v>733</v>
      </c>
      <c r="E14" s="15">
        <f t="shared" si="0"/>
        <v>11</v>
      </c>
      <c r="F14" t="s">
        <v>144</v>
      </c>
      <c r="G14" t="s">
        <v>642</v>
      </c>
      <c r="H14" t="s">
        <v>740</v>
      </c>
      <c r="I14" t="s">
        <v>130</v>
      </c>
      <c r="J14" t="s">
        <v>642</v>
      </c>
      <c r="K14" t="s">
        <v>741</v>
      </c>
    </row>
    <row r="15" spans="1:11" x14ac:dyDescent="0.2">
      <c r="A15" s="126" t="s">
        <v>49</v>
      </c>
      <c r="B15" s="126" t="s">
        <v>82</v>
      </c>
      <c r="C15" s="111" t="s">
        <v>733</v>
      </c>
    </row>
    <row r="19" spans="6:8" x14ac:dyDescent="0.2">
      <c r="F19" s="36"/>
      <c r="G19" s="36"/>
      <c r="H19" s="36"/>
    </row>
  </sheetData>
  <autoFilter ref="A3:C15" xr:uid="{DF695958-8DE6-4F89-B522-51A923FC23C3}">
    <filterColumn colId="0" showButton="0"/>
    <filterColumn colId="1" showButton="0"/>
  </autoFilter>
  <mergeCells count="1">
    <mergeCell ref="A3:C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B2C0-0DB8-4D49-9F53-33EC883DF016}">
  <dimension ref="A1:J3"/>
  <sheetViews>
    <sheetView workbookViewId="0">
      <selection activeCell="F26" sqref="F26"/>
    </sheetView>
  </sheetViews>
  <sheetFormatPr defaultRowHeight="12.75" x14ac:dyDescent="0.2"/>
  <cols>
    <col min="1" max="1" width="4.5703125" style="15" bestFit="1" customWidth="1"/>
    <col min="2" max="2" width="8.5703125" bestFit="1" customWidth="1"/>
    <col min="3" max="3" width="10.140625" bestFit="1" customWidth="1"/>
    <col min="4" max="4" width="25" bestFit="1" customWidth="1"/>
    <col min="5" max="5" width="14.85546875" bestFit="1" customWidth="1"/>
    <col min="6" max="6" width="14.85546875" customWidth="1"/>
    <col min="7" max="7" width="12.42578125" style="18" bestFit="1" customWidth="1"/>
    <col min="10" max="10" width="11.85546875" bestFit="1" customWidth="1"/>
  </cols>
  <sheetData>
    <row r="1" spans="1:10" x14ac:dyDescent="0.2">
      <c r="A1" s="130" t="s">
        <v>0</v>
      </c>
      <c r="B1" s="128" t="s">
        <v>29</v>
      </c>
      <c r="C1" s="128" t="s">
        <v>1</v>
      </c>
      <c r="D1" s="128" t="s">
        <v>742</v>
      </c>
      <c r="E1" s="128" t="s">
        <v>91</v>
      </c>
      <c r="F1" s="128" t="s">
        <v>743</v>
      </c>
      <c r="G1" s="129" t="s">
        <v>202</v>
      </c>
      <c r="I1" s="131" t="s">
        <v>10</v>
      </c>
      <c r="J1" s="30">
        <f>SUM(G:G)</f>
        <v>25500</v>
      </c>
    </row>
    <row r="2" spans="1:10" x14ac:dyDescent="0.2">
      <c r="A2" s="15">
        <v>1</v>
      </c>
      <c r="B2" t="str">
        <f>TEXT(C2,"dddd")</f>
        <v>Monday</v>
      </c>
      <c r="C2" s="26">
        <v>46062</v>
      </c>
      <c r="D2" t="s">
        <v>744</v>
      </c>
      <c r="E2" t="s">
        <v>48</v>
      </c>
      <c r="F2" s="57" t="s">
        <v>22</v>
      </c>
      <c r="G2" s="18">
        <v>30500</v>
      </c>
    </row>
    <row r="3" spans="1:10" x14ac:dyDescent="0.2">
      <c r="A3" s="15">
        <v>1</v>
      </c>
      <c r="B3" t="str">
        <f>TEXT(C3,"dddd")</f>
        <v>Thursday</v>
      </c>
      <c r="C3" s="26">
        <v>46065</v>
      </c>
      <c r="D3" s="57" t="s">
        <v>745</v>
      </c>
      <c r="E3" t="s">
        <v>48</v>
      </c>
      <c r="F3" t="s">
        <v>22</v>
      </c>
      <c r="G3" s="18">
        <v>-5000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1BC8E3-3367-4964-8408-62343F224075}">
          <x14:formula1>
            <xm:f>Expenses!$J$2:$J$10</xm:f>
          </x14:formula1>
          <xm:sqref>F2:F1048576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PL</vt:lpstr>
      <vt:lpstr>How to</vt:lpstr>
      <vt:lpstr>Daily Tracker</vt:lpstr>
      <vt:lpstr>Staff</vt:lpstr>
      <vt:lpstr>Feb expenses</vt:lpstr>
      <vt:lpstr>Income(International)</vt:lpstr>
      <vt:lpstr>Income</vt:lpstr>
      <vt:lpstr>Expenses</vt:lpstr>
      <vt:lpstr>Resource Performance</vt:lpstr>
      <vt:lpstr>Balance Amount</vt:lpstr>
      <vt:lpstr>Order Book</vt:lpstr>
      <vt:lpstr>Pending Payment</vt:lpstr>
      <vt:lpstr>Validations</vt:lpstr>
      <vt:lpstr>Project Deadlines</vt:lpstr>
      <vt:lpstr>Roles &amp; Responsibilities</vt:lpstr>
      <vt:lpstr>Asset Purchase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Chandan Mallik</dc:creator>
  <cp:keywords/>
  <dc:description/>
  <cp:lastModifiedBy>Chandan Mallik</cp:lastModifiedBy>
  <cp:revision/>
  <dcterms:created xsi:type="dcterms:W3CDTF">2025-03-18T06:32:15Z</dcterms:created>
  <dcterms:modified xsi:type="dcterms:W3CDTF">2026-03-12T06:35:24Z</dcterms:modified>
  <cp:category/>
  <cp:contentStatus/>
</cp:coreProperties>
</file>